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terature" sheetId="2" state="visible" r:id="rId2"/>
    <sheet name="Evidence" sheetId="3" state="visible" r:id="rId3"/>
    <sheet name="Cases" sheetId="4" state="visible" r:id="rId4"/>
    <sheet name="Summary" sheetId="5" state="visible" r:id="rId5"/>
  </sheets>
  <definedNames>
    <definedName name="_xlnm._FilterDatabase" localSheetId="1" hidden="1">'Literature'!$A$1:$Q$111</definedName>
    <definedName name="_xlnm._FilterDatabase" localSheetId="2" hidden="1">'Evidence'!$A$1:$I$81</definedName>
    <definedName name="_xlnm._FilterDatabase" localSheetId="3" hidden="1">'Cases'!$A$1:$E$16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ulcrum.org/concern/monographs/wp988k715" TargetMode="External" Id="rId1" /><Relationship Type="http://schemas.openxmlformats.org/officeDocument/2006/relationships/hyperlink" Target="https://www.mdpi.com/2313-7673/11/2/157" TargetMode="External" Id="rId2" /><Relationship Type="http://schemas.openxmlformats.org/officeDocument/2006/relationships/hyperlink" Target="https://arxiv.org/abs/2510.09858" TargetMode="External" Id="rId3" /><Relationship Type="http://schemas.openxmlformats.org/officeDocument/2006/relationships/hyperlink" Target="https://philarchive.org/archive/NOVAAL" TargetMode="External" Id="rId4" /><Relationship Type="http://schemas.openxmlformats.org/officeDocument/2006/relationships/hyperlink" Target="https://osf.io/preprints/psyarxiv/sntva" TargetMode="External" Id="rId5" /><Relationship Type="http://schemas.openxmlformats.org/officeDocument/2006/relationships/hyperlink" Target="https://philpapers.org/rec/BIRACA-4" TargetMode="External" Id="rId6" /><Relationship Type="http://schemas.openxmlformats.org/officeDocument/2006/relationships/hyperlink" Target="https://papers.ssrn.com/sol3/papers.cfm?abstract_id=5353214" TargetMode="External" Id="rId7" /><Relationship Type="http://schemas.openxmlformats.org/officeDocument/2006/relationships/hyperlink" Target="https://papers.ssrn.com/sol3/papers.cfm?abstract_id=4913167" TargetMode="External" Id="rId8" /><Relationship Type="http://schemas.openxmlformats.org/officeDocument/2006/relationships/hyperlink" Target="https://papers.ssrn.com/sol3/papers.cfm?abstract_id=6498678" TargetMode="External" Id="rId9" /><Relationship Type="http://schemas.openxmlformats.org/officeDocument/2006/relationships/hyperlink" Target="https://arxiv.org/abs/2509.11913" TargetMode="External" Id="rId10" /><Relationship Type="http://schemas.openxmlformats.org/officeDocument/2006/relationships/hyperlink" Target="https://doi.org/10.1007/s11948-025-00572-x" TargetMode="External" Id="rId11" /><Relationship Type="http://schemas.openxmlformats.org/officeDocument/2006/relationships/hyperlink" Target="https://digitalcommons.law.uga.edu/fac_artchop/1554/" TargetMode="External" Id="rId12" /><Relationship Type="http://schemas.openxmlformats.org/officeDocument/2006/relationships/hyperlink" Target="https://carnegieendowment.org/posts/2026/03/california-ai-sb-1159" TargetMode="External" Id="rId13" /><Relationship Type="http://schemas.openxmlformats.org/officeDocument/2006/relationships/hyperlink" Target="https://philarchive.org/rec/BLOCOM-3" TargetMode="External" Id="rId14" /><Relationship Type="http://schemas.openxmlformats.org/officeDocument/2006/relationships/hyperlink" Target="https://rooseveltinstitute.org/publications/citizens-united-15-years-later/" TargetMode="External" Id="rId15" /><Relationship Type="http://schemas.openxmlformats.org/officeDocument/2006/relationships/hyperlink" Target="https://doi.org/10.1017/S0140525X25000032" TargetMode="External" Id="rId16" /><Relationship Type="http://schemas.openxmlformats.org/officeDocument/2006/relationships/hyperlink" Target="https://plato.stanford.edu/archives/spr2026/entries/consciousness/" TargetMode="External" Id="rId17" /><Relationship Type="http://schemas.openxmlformats.org/officeDocument/2006/relationships/hyperlink" Target="https://arxiv.org/abs/2308.08708" TargetMode="External" Id="rId18" /><Relationship Type="http://schemas.openxmlformats.org/officeDocument/2006/relationships/hyperlink" Target="https://larc.cardozo.yu.edu/clr/vol42/iss6/8/" TargetMode="External" Id="rId19" /><Relationship Type="http://schemas.openxmlformats.org/officeDocument/2006/relationships/hyperlink" Target="https://scholarlycommons.law.case.edu/jolti/vol17/iss1/3/" TargetMode="External" Id="rId20" /><Relationship Type="http://schemas.openxmlformats.org/officeDocument/2006/relationships/hyperlink" Target="https://arxiv.org/abs/2603.10028" TargetMode="External" Id="rId21" /><Relationship Type="http://schemas.openxmlformats.org/officeDocument/2006/relationships/hyperlink" Target="https://arxiv.org/abs/2601.17060" TargetMode="External" Id="rId22" /><Relationship Type="http://schemas.openxmlformats.org/officeDocument/2006/relationships/hyperlink" Target="https://arxiv.org/abs/2602.21012" TargetMode="External" Id="rId23" /><Relationship Type="http://schemas.openxmlformats.org/officeDocument/2006/relationships/hyperlink" Target="https://arxiv.org/abs/2206.13353" TargetMode="External" Id="rId24" /><Relationship Type="http://schemas.openxmlformats.org/officeDocument/2006/relationships/hyperlink" Target="https://arxiv.org/abs/2307.02483" TargetMode="External" Id="rId25" /><Relationship Type="http://schemas.openxmlformats.org/officeDocument/2006/relationships/hyperlink" Target="https://arxiv.org/abs/2503.23674" TargetMode="External" Id="rId26" /><Relationship Type="http://schemas.openxmlformats.org/officeDocument/2006/relationships/hyperlink" Target="https://law-ai.org/law-following-ai/" TargetMode="External" Id="rId27" /><Relationship Type="http://schemas.openxmlformats.org/officeDocument/2006/relationships/hyperlink" Target="https://scholarship.law.unc.edu/nclr/vol70/iss4/4/" TargetMode="External" Id="rId28" /><Relationship Type="http://schemas.openxmlformats.org/officeDocument/2006/relationships/hyperlink" Target="https://www.wakeforestlawreview.com/2026/04/legislating-nonpersonhood/" TargetMode="External" Id="rId29" /><Relationship Type="http://schemas.openxmlformats.org/officeDocument/2006/relationships/hyperlink" Target="https://www.frontiersin.org/journals/neuroscience/articles/10.3389/fnins.2022.959626/full" TargetMode="External" Id="rId30" /><Relationship Type="http://schemas.openxmlformats.org/officeDocument/2006/relationships/hyperlink" Target="https://goodscience.substack.com/p/regulating-ai-is-confusing" TargetMode="External" Id="rId31" /><Relationship Type="http://schemas.openxmlformats.org/officeDocument/2006/relationships/hyperlink" Target="https://papers.ssrn.com/sol3/papers.cfm?abstract_id=6588659" TargetMode="External" Id="rId32" /><Relationship Type="http://schemas.openxmlformats.org/officeDocument/2006/relationships/hyperlink" Target="https://www.guttmacher.org/2025/06/state-policy-trends-midyear-analysis" TargetMode="External" Id="rId33" /><Relationship Type="http://schemas.openxmlformats.org/officeDocument/2006/relationships/hyperlink" Target="https://arxiv.org/abs/2411.00986" TargetMode="External" Id="rId34" /><Relationship Type="http://schemas.openxmlformats.org/officeDocument/2006/relationships/hyperlink" Target="https://natlawreview.com/article/tennessees-ai-bill-would-criminalize-training-ai-cha" TargetMode="External" Id="rId35" /><Relationship Type="http://schemas.openxmlformats.org/officeDocument/2006/relationships/hyperlink" Target="https://deepmind.google/research/publications/231971/" TargetMode="External" Id="rId36" /><Relationship Type="http://schemas.openxmlformats.org/officeDocument/2006/relationships/hyperlink" Target="https://papers.ssrn.com/sol3/papers.cfm?abstract_id=2611299" TargetMode="External" Id="rId37" /><Relationship Type="http://schemas.openxmlformats.org/officeDocument/2006/relationships/hyperlink" Target="https://www.yalelawjournal.org/forum/the-ethics-and-challenges-of-legal-personhood-for-ai" TargetMode="External" Id="rId38" /><Relationship Type="http://schemas.openxmlformats.org/officeDocument/2006/relationships/hyperlink" Target="https://plato.stanford.edu/entries/grounds-moral-status/" TargetMode="External" Id="rId39" /><Relationship Type="http://schemas.openxmlformats.org/officeDocument/2006/relationships/hyperlink" Target="https://arxiv.org/abs/2502.00388" TargetMode="External" Id="rId40" /><Relationship Type="http://schemas.openxmlformats.org/officeDocument/2006/relationships/hyperlink" Target="https://mustafa-suleyman.ai/seemingly-conscious-ai-is-coming" TargetMode="External" Id="rId41" /><Relationship Type="http://schemas.openxmlformats.org/officeDocument/2006/relationships/hyperlink" Target="https://arxiv.org/abs/2602.17997" TargetMode="External" Id="rId42" /><Relationship Type="http://schemas.openxmlformats.org/officeDocument/2006/relationships/hyperlink" Target="https://doi.org/10.1007/978-3-031-36163-0" TargetMode="External" Id="rId43" /><Relationship Type="http://schemas.openxmlformats.org/officeDocument/2006/relationships/hyperlink" Target="https://doi.org/10.1136/bmjgh-2023-012308" TargetMode="External" Id="rId44" /><Relationship Type="http://schemas.openxmlformats.org/officeDocument/2006/relationships/hyperlink" Target="https://doi.org/10.1007/s43681-021-00044-5" TargetMode="External" Id="rId45" /><Relationship Type="http://schemas.openxmlformats.org/officeDocument/2006/relationships/hyperlink" Target="https://doi.org/10.1007/s00146-024-02006-x" TargetMode="External" Id="rId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bc.co.uk/news/articles/cly7jrez2jno" TargetMode="External" Id="rId1" /><Relationship Type="http://schemas.openxmlformats.org/officeDocument/2006/relationships/hyperlink" Target="https://ohiocapitaljournal.com/2025/11/25/ohios-ai-personhood-ban-risks-outlawing-the-future/" TargetMode="External" Id="rId2" /><Relationship Type="http://schemas.openxmlformats.org/officeDocument/2006/relationships/hyperlink" Target="https://secureainow.org/" TargetMode="External" Id="rId3" /><Relationship Type="http://schemas.openxmlformats.org/officeDocument/2006/relationships/hyperlink" Target="https://secureainow.org/staff/" TargetMode="External" Id="rId4" /><Relationship Type="http://schemas.openxmlformats.org/officeDocument/2006/relationships/hyperlink" Target="https://podcasts.apple.com/us/podcast/am-i-id1834212843?i=1000740865127" TargetMode="External" Id="rId5" /><Relationship Type="http://schemas.openxmlformats.org/officeDocument/2006/relationships/hyperlink" Target="https://x.com/deanwball/status/2004678006561013931" TargetMode="External" Id="rId6" /><Relationship Type="http://schemas.openxmlformats.org/officeDocument/2006/relationships/hyperlink" Target="https://x.com/deanwball/status/2004637387402416246" TargetMode="External" Id="rId7" /><Relationship Type="http://schemas.openxmlformats.org/officeDocument/2006/relationships/hyperlink" Target="https://www.deanball.com/" TargetMode="External" Id="rId8" /><Relationship Type="http://schemas.openxmlformats.org/officeDocument/2006/relationships/hyperlink" Target="https://www.nonhumanrights.org/wp-content/uploads/2025/01/UT-Complaint.pdf" TargetMode="External" Id="rId9" /><Relationship Type="http://schemas.openxmlformats.org/officeDocument/2006/relationships/hyperlink" Target="https://docs.legis.wisconsin.gov/misc/lc/hearing_testimony_and_materials/2025/ab959/ab0959_2026_02_04.pdf" TargetMode="External" Id="rId10" /><Relationship Type="http://schemas.openxmlformats.org/officeDocument/2006/relationships/hyperlink" Target="https://www.wsj.com/opinion/if-ai-becomes-conscious-we-need-to-know-83aa61d8" TargetMode="External" Id="rId11" /><Relationship Type="http://schemas.openxmlformats.org/officeDocument/2006/relationships/hyperlink" Target="https://documents.house.mo.gov/billtracking/bills261/witnesses/HB1746Testimony2-2.pdf" TargetMode="External" Id="rId12" /><Relationship Type="http://schemas.openxmlformats.org/officeDocument/2006/relationships/hyperlink" Target="https://apnews.com/article/united-states-environment-animals-idaho-402c779428a74a6ec9e7994ee977005c" TargetMode="External" Id="rId13" /><Relationship Type="http://schemas.openxmlformats.org/officeDocument/2006/relationships/hyperlink" Target="https://docs.legis.wisconsin.gov/misc/lc/hearing_testimony_and_materials/2025/ab959/ab0959_2026_02_04.pdf" TargetMode="External" Id="rId14" /><Relationship Type="http://schemas.openxmlformats.org/officeDocument/2006/relationships/hyperlink" Target="https://ohiohouse.gov/committees/technology-and-innovation/bills/hb469" TargetMode="External" Id="rId15" /><Relationship Type="http://schemas.openxmlformats.org/officeDocument/2006/relationships/hyperlink" Target="https://codymaynard.com/home/endorsements/" TargetMode="External" Id="rId16" /><Relationship Type="http://schemas.openxmlformats.org/officeDocument/2006/relationships/hyperlink" Target="https://www.youtube.com/watch?v=o-u_ZkGBcNc" TargetMode="External" Id="rId17" /><Relationship Type="http://schemas.openxmlformats.org/officeDocument/2006/relationships/hyperlink" Target="https://www.washingtonpost.com/technology/2026/03/04/anthropic-ai-iran-campaign/" TargetMode="External" Id="rId18" /><Relationship Type="http://schemas.openxmlformats.org/officeDocument/2006/relationships/hyperlink" Target="https://www.law.cornell.edu/wex/natural_person" TargetMode="External" Id="rId19" /><Relationship Type="http://schemas.openxmlformats.org/officeDocument/2006/relationships/hyperlink" Target="https://video.ndlegis.gov/en/PowerBrowser/PowerBrowserV2/20230306/-1/29325" TargetMode="External" Id="rId20" /><Relationship Type="http://schemas.openxmlformats.org/officeDocument/2006/relationships/hyperlink" Target="https://www.nytimes.com/2026/02/12/opinion/artificial-intelligence-anthropic-amodei.html" TargetMode="External" Id="rId21" /><Relationship Type="http://schemas.openxmlformats.org/officeDocument/2006/relationships/hyperlink" Target="https://www.earthlawcenter.org/blog-entries/2024/2/utah-advances-anti-rights-of-nature-bill-with-implications-for-ai" TargetMode="External" Id="rId22" /><Relationship Type="http://schemas.openxmlformats.org/officeDocument/2006/relationships/hyperlink" Target="https://ohiohouse.gov/committees/technology-and-innovation/bills/hb469" TargetMode="External" Id="rId23" /><Relationship Type="http://schemas.openxmlformats.org/officeDocument/2006/relationships/hyperlink" Target="https://ohiocapitaljournal.com/2025/11/17/whats-in-ohios-proposal-banning-ai-personhood/" TargetMode="External" Id="rId24" /><Relationship Type="http://schemas.openxmlformats.org/officeDocument/2006/relationships/hyperlink" Target="https://futureoflife.org/about-us/" TargetMode="External" Id="rId25" /><Relationship Type="http://schemas.openxmlformats.org/officeDocument/2006/relationships/hyperlink" Target="https://futureoflife.org/" TargetMode="External" Id="rId26" /><Relationship Type="http://schemas.openxmlformats.org/officeDocument/2006/relationships/hyperlink" Target="https://www.governor.ny.gov/news/governor-hochul-signs-nation-leading-legislation-require-ai-frameworks-ai-frontier-models" TargetMode="External" Id="rId27" /><Relationship Type="http://schemas.openxmlformats.org/officeDocument/2006/relationships/hyperlink" Target="https://www.theguardian.com/us-news/2022/jun/14/elephant-person-animal-rights-happy" TargetMode="External" Id="rId28" /><Relationship Type="http://schemas.openxmlformats.org/officeDocument/2006/relationships/hyperlink" Target="https://futureoflife.org/press-release/desantis-directs-florida-agencies-to-partner-with-fli/" TargetMode="External" Id="rId29" /><Relationship Type="http://schemas.openxmlformats.org/officeDocument/2006/relationships/hyperlink" Target="https://documents.house.mo.gov/billtracking/bills261/witnesses/HB1746Testimony2-2.pdf" TargetMode="External" Id="rId30" /><Relationship Type="http://schemas.openxmlformats.org/officeDocument/2006/relationships/hyperlink" Target="https://documents.house.mo.gov/billtracking/bills261/witnesses/HB1769Testimony2-2.pdf" TargetMode="External" Id="rId31" /><Relationship Type="http://schemas.openxmlformats.org/officeDocument/2006/relationships/hyperlink" Target="https://www.ksl.com/article/50407168/court-must-decide-if-an-elephant-is-a-person" TargetMode="External" Id="rId32" /><Relationship Type="http://schemas.openxmlformats.org/officeDocument/2006/relationships/hyperlink" Target="https://idahofreedom.org/house-bill-720-personhood-animals-objects/" TargetMode="External" Id="rId33" /><Relationship Type="http://schemas.openxmlformats.org/officeDocument/2006/relationships/hyperlink" Target="https://wapp.capitol.tn.gov/apps/LegislatorInfo/member?district=h78" TargetMode="External" Id="rId34" /><Relationship Type="http://schemas.openxmlformats.org/officeDocument/2006/relationships/hyperlink" Target="https://apnews.com/article/brazil-amazon-wari-indigenous-nature-rights-deforestation-68af65663fb7bd1b9d2051ce10c17a46" TargetMode="External" Id="rId35" /><Relationship Type="http://schemas.openxmlformats.org/officeDocument/2006/relationships/hyperlink" Target="https://www.capitol.tn.gov/senate/archives/107GA/members/s6.html" TargetMode="External" Id="rId36" /><Relationship Type="http://schemas.openxmlformats.org/officeDocument/2006/relationships/hyperlink" Target="https://www.house.mn.gov/hrd/pubs/ss/ssconamend.pdf" TargetMode="External" Id="rId37" /><Relationship Type="http://schemas.openxmlformats.org/officeDocument/2006/relationships/hyperlink" Target="https://www.lexisnexis.com/documents/pdf/20080618091347_large.pdf" TargetMode="External" Id="rId38" /><Relationship Type="http://schemas.openxmlformats.org/officeDocument/2006/relationships/hyperlink" Target="https://nicholsforidaho.substack.com/p/ai-states-rights-and-my-visit-to" TargetMode="External" Id="rId39" /><Relationship Type="http://schemas.openxmlformats.org/officeDocument/2006/relationships/hyperlink" Target="https://nicholsforidaho.substack.com/p/ai-states-rights-and-the-most-basic" TargetMode="External" Id="rId40" /><Relationship Type="http://schemas.openxmlformats.org/officeDocument/2006/relationships/hyperlink" Target="https://www.nonhumanrights.org/blog/hb249-lawsuit-nhrp/" TargetMode="External" Id="rId41" /><Relationship Type="http://schemas.openxmlformats.org/officeDocument/2006/relationships/hyperlink" Target="https://ndcan.org/house-bill-1361" TargetMode="External" Id="rId42" /><Relationship Type="http://schemas.openxmlformats.org/officeDocument/2006/relationships/hyperlink" Target="https://ndcan.org/about" TargetMode="External" Id="rId43" /><Relationship Type="http://schemas.openxmlformats.org/officeDocument/2006/relationships/hyperlink" Target="https://www.ndfamilyalliance.org/" TargetMode="External" Id="rId44" /><Relationship Type="http://schemas.openxmlformats.org/officeDocument/2006/relationships/hyperlink" Target="https://ndlegis.gov/sites/default/files/resource/68-2023/library/hb1361.pdf" TargetMode="External" Id="rId45" /><Relationship Type="http://schemas.openxmlformats.org/officeDocument/2006/relationships/hyperlink" Target="https://ndlegis.gov/sites/default/files/resource/69-2025/library/hb1145.pdf" TargetMode="External" Id="rId46" /><Relationship Type="http://schemas.openxmlformats.org/officeDocument/2006/relationships/hyperlink" Target="https://ohiohouse.gov/committees/technology-and-innovation/bills/hb469" TargetMode="External" Id="rId47" /><Relationship Type="http://schemas.openxmlformats.org/officeDocument/2006/relationships/hyperlink" Target="https://time.com/7299044/senators-reject-10-year-ban-on-state-level-ai-regulation-in-blow-to-big-tech/" TargetMode="External" Id="rId48" /><Relationship Type="http://schemas.openxmlformats.org/officeDocument/2006/relationships/hyperlink" Target="https://www.peta.org/features/peta-foundation-legal/case-summaries/tilikum-v-seaworld/" TargetMode="External" Id="rId49" /><Relationship Type="http://schemas.openxmlformats.org/officeDocument/2006/relationships/hyperlink" Target="https://protectwhatshuman.org/" TargetMode="External" Id="rId50" /><Relationship Type="http://schemas.openxmlformats.org/officeDocument/2006/relationships/hyperlink" Target="https://www.deseret.com/utah/2024/1/23/24048098/great-salt-lake-legal-personhood-utah-legislature/" TargetMode="External" Id="rId51" /><Relationship Type="http://schemas.openxmlformats.org/officeDocument/2006/relationships/hyperlink" Target="https://utahnewsdispatch.com/2024/01/23/great-salt-lake-personhood-bill/" TargetMode="External" Id="rId52" /><Relationship Type="http://schemas.openxmlformats.org/officeDocument/2006/relationships/hyperlink" Target="https://www.theguardian.com/world/2017/mar/16/new-zealand-river-granted-same-legal-rights-as-human-being" TargetMode="External" Id="rId53" /><Relationship Type="http://schemas.openxmlformats.org/officeDocument/2006/relationships/hyperlink" Target="https://www.saveourgreatsaltlake.org/" TargetMode="External" Id="rId54" /><Relationship Type="http://schemas.openxmlformats.org/officeDocument/2006/relationships/hyperlink" Target="https://www.capitol.tn.gov/Bills/114/Amend/SA0922.pdf" TargetMode="External" Id="rId55" /><Relationship Type="http://schemas.openxmlformats.org/officeDocument/2006/relationships/hyperlink" Target="https://ohiohouse.gov/committees/technology-and-innovation/bills/hb469" TargetMode="External" Id="rId56" /><Relationship Type="http://schemas.openxmlformats.org/officeDocument/2006/relationships/hyperlink" Target="https://www.saet.ac.uk/Christianity/ImageofGod" TargetMode="External" Id="rId57" /><Relationship Type="http://schemas.openxmlformats.org/officeDocument/2006/relationships/hyperlink" Target="https://www.linkedin.com/in/brendanstteinhauser/details/experience/" TargetMode="External" Id="rId58" /><Relationship Type="http://schemas.openxmlformats.org/officeDocument/2006/relationships/hyperlink" Target="https://secureainow.org/ohiohb469/" TargetMode="External" Id="rId59" /><Relationship Type="http://schemas.openxmlformats.org/officeDocument/2006/relationships/hyperlink" Target="https://x.com/garrytan/status/2005002574697824594" TargetMode="External" Id="rId60" /><Relationship Type="http://schemas.openxmlformats.org/officeDocument/2006/relationships/hyperlink" Target="https://www.technet.org/" TargetMode="External" Id="rId61" /><Relationship Type="http://schemas.openxmlformats.org/officeDocument/2006/relationships/hyperlink" Target="https://capitol.tn.gov/Bills/114/Amend/HA1260.pdf" TargetMode="External" Id="rId62" /><Relationship Type="http://schemas.openxmlformats.org/officeDocument/2006/relationships/hyperlink" Target="https://law.justia.com/codes/tennessee/title-40/chapter-35/part-1/section-40-35-111/" TargetMode="External" Id="rId63" /><Relationship Type="http://schemas.openxmlformats.org/officeDocument/2006/relationships/hyperlink" Target="https://humanstatement.org" TargetMode="External" Id="rId64" /><Relationship Type="http://schemas.openxmlformats.org/officeDocument/2006/relationships/hyperlink" Target="https://www.whitehouse.gov/articles/2025/07/white-house-unveils-americas-ai-action-plan/" TargetMode="External" Id="rId65" /><Relationship Type="http://schemas.openxmlformats.org/officeDocument/2006/relationships/hyperlink" Target="https://le.utah.gov/av/committeeArchive.jsp?timelineID=241561" TargetMode="External" Id="rId66" /><Relationship Type="http://schemas.openxmlformats.org/officeDocument/2006/relationships/hyperlink" Target="https://le.utah.gov/av/committeeArchive.jsp?timelineID=246931" TargetMode="External" Id="rId67" /><Relationship Type="http://schemas.openxmlformats.org/officeDocument/2006/relationships/hyperlink" Target="https://wallbuilders.com/wp-content/uploads/2024/12/2024-WallBuilders-Impact-Report.pdf" TargetMode="External" Id="rId68" /><Relationship Type="http://schemas.openxmlformats.org/officeDocument/2006/relationships/hyperlink" Target="https://wallbuilders.com/wp-content/uploads/2025/12/2025-WallBuilders-Impact-Report.pdf" TargetMode="External" Id="rId69" /><Relationship Type="http://schemas.openxmlformats.org/officeDocument/2006/relationships/hyperlink" Target="https://wallbuilders.com/" TargetMode="External" Id="rId70" /><Relationship Type="http://schemas.openxmlformats.org/officeDocument/2006/relationships/hyperlink" Target="https://www.weforum.org/stories/2017/10/a-robot-has-just-been-granted-citizenship-of-saudi-arabia/" TargetMode="External" Id="rId71" /><Relationship Type="http://schemas.openxmlformats.org/officeDocument/2006/relationships/hyperlink" Target="https://www.thepostathens.com/article/2025/11/ohio-house-bill-469-prohibit-ai-personhood" TargetMode="External" Id="rId72" /><Relationship Type="http://schemas.openxmlformats.org/officeDocument/2006/relationships/hyperlink" Target="https://www.ksl.com/article/50853851/what-is-a-person-heres-why-utah-is-considering-a-new-bill-to-define-it" TargetMode="External" Id="rId73" /><Relationship Type="http://schemas.openxmlformats.org/officeDocument/2006/relationships/hyperlink" Target="https://wiseye.org/2026/02/04/assembly-committee-on-science-technology-and-ai-7/" TargetMode="External" Id="rId74" /><Relationship Type="http://schemas.openxmlformats.org/officeDocument/2006/relationships/hyperlink" Target="https://www.weforum.org/stories/2020/05/nature-legal-personhood/" TargetMode="External" Id="rId75" /><Relationship Type="http://schemas.openxmlformats.org/officeDocument/2006/relationships/hyperlink" Target="https://ecojurisprudence.org/initiatives/resolution-establishing-rights-of-the-klamath-river/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AI Legal Status Tracker - Reference Register</t>
        </is>
      </c>
    </row>
    <row r="2">
      <c r="A2" s="2" t="inlineStr">
        <is>
          <t>Phase 1, steps 1-2: reference extraction and DM corpus dedupe</t>
        </is>
      </c>
    </row>
    <row r="4">
      <c r="A4" s="3" t="inlineStr">
        <is>
          <t>Source document</t>
        </is>
      </c>
      <c r="B4" s="4" t="inlineStr">
        <is>
          <t>Smith, A., Caviola, L., &amp; Alexander, H. (2026). Denying Personhood to AI: An Analysis of U.S. State Legislation on AI Legal Status. SSRN 6829981. Reference list pp. 42-50, Table of Cases p. 41.</t>
        </is>
      </c>
    </row>
    <row r="5">
      <c r="A5" s="3" t="inlineStr">
        <is>
          <t>Dedupe target</t>
        </is>
      </c>
      <c r="B5" s="4" t="inlineStr">
        <is>
          <t>digital-minds-corpus/master-corpus.csv - layers core + canon (1,279 works). Matched on normalised title, threshold 0.85, containment-boosted. Zero ambiguous matches.</t>
        </is>
      </c>
    </row>
    <row r="6">
      <c r="A6" s="5" t="inlineStr"/>
      <c r="B6" s="4" t="inlineStr"/>
    </row>
    <row r="7">
      <c r="A7" s="3" t="inlineStr">
        <is>
          <t>SHEET: Literature</t>
        </is>
      </c>
      <c r="B7" s="4" t="inlineStr">
        <is>
          <t>The working set for the literature review. Combines (a) the scholarly subset of the paper's references and (b) the personhood / legal-status cluster already held in the DM corpus but not cited by the paper. Filter on 'in_paper' and 'in_corpus' to separate the two.</t>
        </is>
      </c>
    </row>
    <row r="8">
      <c r="A8" s="3" t="inlineStr">
        <is>
          <t>SHEET: Evidence</t>
        </is>
      </c>
      <c r="B8" s="4" t="inlineStr">
        <is>
          <t>Non-scholarly reference entries - testimony, news, advocacy, legislature records, social posts. These are evidence ABOUT the bills, not literature. They are source records for the bill registry in Phase 2, keyed by jurisdiction and related_bill.</t>
        </is>
      </c>
    </row>
    <row r="9">
      <c r="A9" s="3" t="inlineStr">
        <is>
          <t>SHEET: Cases</t>
        </is>
      </c>
      <c r="B9" s="4" t="inlineStr">
        <is>
          <t>Table of Cases from the paper (p. 41). Primary law, not literature; relevant to the legal-vulnerabilities analysis.</t>
        </is>
      </c>
    </row>
    <row r="10">
      <c r="A10" s="3" t="inlineStr">
        <is>
          <t>SHEET: Summary</t>
        </is>
      </c>
      <c r="B10" s="4" t="inlineStr">
        <is>
          <t>Counts, computed by formula from the sheets above.</t>
        </is>
      </c>
    </row>
    <row r="11">
      <c r="A11" s="5" t="inlineStr"/>
      <c r="B11" s="4" t="inlineStr"/>
    </row>
    <row r="12">
      <c r="A12" s="3" t="inlineStr">
        <is>
          <t>Column: tier</t>
        </is>
      </c>
      <c r="B12" s="4" t="inlineStr">
        <is>
          <t>core = substantive scholarship for the review. marginal = think-tank reports, trade commentary and industry essays; context rather than literature. Decide at the checkpoint whether marginal enters the registry.</t>
        </is>
      </c>
    </row>
    <row r="13">
      <c r="A13" s="3" t="inlineStr">
        <is>
          <t>Column: strand</t>
        </is>
      </c>
      <c r="B13" s="4" t="inlineStr">
        <is>
          <t>Descriptive topic tag. Flat, non-hierarchical, no ranking - consistent with the Observatory descriptive-first principle.</t>
        </is>
      </c>
    </row>
    <row r="14">
      <c r="A14" s="3" t="inlineStr">
        <is>
          <t>Column: action</t>
        </is>
      </c>
      <c r="B14" s="4" t="inlineStr">
        <is>
          <t>'No action - already held' = in the corpus. 'Collect' = new, core tier, obtain in step 3. 'Hold (marginal)' = park pending checkpoint. 'Classify for tracker' = corpus-held work the paper missed.</t>
        </is>
      </c>
    </row>
    <row r="15">
      <c r="A15" s="3" t="inlineStr">
        <is>
          <t>Column: cited_by</t>
        </is>
      </c>
      <c r="B15" s="4" t="inlineStr">
        <is>
          <t>Citation count as recorded in the DM corpus at its own as-of date. Blank for works not in the corpus. Not independently re-verified here.</t>
        </is>
      </c>
    </row>
    <row r="16">
      <c r="A16" s="5" t="inlineStr"/>
      <c r="B16" s="4" t="inlineStr"/>
    </row>
    <row r="17">
      <c r="A17" s="3" t="inlineStr">
        <is>
          <t>Editable cells</t>
        </is>
      </c>
      <c r="B17" s="4" t="inlineStr">
        <is>
          <t>The 'notes' column on Literature and Evidence is intended for reviewer comment. Everything else is generated - re-run build_workbook.py rather than editing in place.</t>
        </is>
      </c>
    </row>
    <row r="18">
      <c r="A18" s="3" t="inlineStr">
        <is>
          <t>Assumptions</t>
        </is>
      </c>
      <c r="B18" s="4" t="inlineStr">
        <is>
          <t>(1) Op-eds by parties to the debate (Berg &amp; Rosenblatt 2025; Alexander &amp; Simon 2025) are classed as evidence, not literature, because they argue about the bills rather than contribute peer-reviewed analysis. (2) SEP entries and the International AI Safety Report are treated as scholarship. (3) Aquinas and Genesis are primary religious sources, not literature.</t>
        </is>
      </c>
    </row>
    <row r="19">
      <c r="A19" s="3" t="inlineStr">
        <is>
          <t>Google Sheets</t>
        </is>
      </c>
      <c r="B19" s="4" t="inlineStr">
        <is>
          <t>This workbook converts cleanly to a native Google Sheet: upload to Drive and open with Sheets, or File &gt; Import. All five tabs, the filters, the frozen headers and the Summary formulas survive conversion; Sheets recalculates the Summary on import. Per-sheet CSVs are also provided in csv/ as a fallback - import those as separate tabs named Literature, Evidence and Cases if you want the Summary formulas to resolve.</t>
        </is>
      </c>
    </row>
    <row r="20">
      <c r="A20" s="3" t="inlineStr">
        <is>
          <t>Provenance</t>
        </is>
      </c>
      <c r="B20" s="4" t="inlineStr">
        <is>
          <t>Reference data transcribed from the source PDF by hand; corpus fields read from master-corpus.csv. Titles and URLs not re-verified against publishers - do that during step 3 collection.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2" customWidth="1" min="4" max="4"/>
    <col width="9" customWidth="1" min="5" max="5"/>
    <col width="26" customWidth="1" min="6" max="6"/>
    <col width="30" customWidth="1" min="7" max="7"/>
    <col width="7" customWidth="1" min="8" max="8"/>
    <col width="58" customWidth="1" min="9" max="9"/>
    <col width="32" customWidth="1" min="10" max="10"/>
    <col width="13" customWidth="1" min="11" max="11"/>
    <col width="22" customWidth="1" min="12" max="12"/>
    <col width="30" customWidth="1" min="13" max="13"/>
    <col width="9" customWidth="1" min="14" max="14"/>
    <col width="44" customWidth="1" min="15" max="15"/>
    <col width="24" customWidth="1" min="16" max="16"/>
    <col width="26" customWidth="1" min="17" max="17"/>
  </cols>
  <sheetData>
    <row r="1" ht="32" customHeight="1">
      <c r="A1" s="6" t="inlineStr">
        <is>
          <t>ref_key</t>
        </is>
      </c>
      <c r="B1" s="6" t="inlineStr">
        <is>
          <t>in_paper</t>
        </is>
      </c>
      <c r="C1" s="6" t="inlineStr">
        <is>
          <t>in_corpus</t>
        </is>
      </c>
      <c r="D1" s="6" t="inlineStr">
        <is>
          <t>corpus_layer</t>
        </is>
      </c>
      <c r="E1" s="6" t="inlineStr">
        <is>
          <t>tier</t>
        </is>
      </c>
      <c r="F1" s="6" t="inlineStr">
        <is>
          <t>strand</t>
        </is>
      </c>
      <c r="G1" s="6" t="inlineStr">
        <is>
          <t>authors</t>
        </is>
      </c>
      <c r="H1" s="6" t="inlineStr">
        <is>
          <t>year</t>
        </is>
      </c>
      <c r="I1" s="6" t="inlineStr">
        <is>
          <t>title</t>
        </is>
      </c>
      <c r="J1" s="6" t="inlineStr">
        <is>
          <t>venue</t>
        </is>
      </c>
      <c r="K1" s="6" t="inlineStr">
        <is>
          <t>type</t>
        </is>
      </c>
      <c r="L1" s="6" t="inlineStr">
        <is>
          <t>discipline</t>
        </is>
      </c>
      <c r="M1" s="6" t="inlineStr">
        <is>
          <t>themes</t>
        </is>
      </c>
      <c r="N1" s="6" t="inlineStr">
        <is>
          <t>cited_by</t>
        </is>
      </c>
      <c r="O1" s="6" t="inlineStr">
        <is>
          <t>url_or_id</t>
        </is>
      </c>
      <c r="P1" s="6" t="inlineStr">
        <is>
          <t>action</t>
        </is>
      </c>
      <c r="Q1" s="6" t="inlineStr">
        <is>
          <t>notes</t>
        </is>
      </c>
    </row>
    <row r="2">
      <c r="A2" s="7" t="inlineStr">
        <is>
          <t>chopra2011</t>
        </is>
      </c>
      <c r="B2" s="7" t="inlineStr">
        <is>
          <t>Yes</t>
        </is>
      </c>
      <c r="C2" s="7" t="inlineStr">
        <is>
          <t>Yes</t>
        </is>
      </c>
      <c r="D2" s="7" t="inlineStr">
        <is>
          <t>adjacent</t>
        </is>
      </c>
      <c r="E2" s="7" t="inlineStr">
        <is>
          <t>core</t>
        </is>
      </c>
      <c r="F2" s="8" t="inlineStr">
        <is>
          <t>legal_personhood</t>
        </is>
      </c>
      <c r="G2" s="8" t="inlineStr">
        <is>
          <t>Chopra, S.; White, L. F.</t>
        </is>
      </c>
      <c r="H2" s="7" t="inlineStr">
        <is>
          <t>2011</t>
        </is>
      </c>
      <c r="I2" s="8" t="inlineStr">
        <is>
          <t>A Legal Theory for Autonomous Artificial Agents</t>
        </is>
      </c>
      <c r="J2" s="8" t="inlineStr">
        <is>
          <t>University of Michigan Press</t>
        </is>
      </c>
      <c r="K2" s="7" t="inlineStr">
        <is>
          <t>book</t>
        </is>
      </c>
      <c r="L2" s="7" t="inlineStr"/>
      <c r="M2" s="8" t="inlineStr"/>
      <c r="N2" s="7" t="inlineStr">
        <is>
          <t>234</t>
        </is>
      </c>
      <c r="O2" s="9" t="inlineStr">
        <is>
          <t>https://www.fulcrum.org/concern/monographs/wp988k715</t>
        </is>
      </c>
      <c r="P2" s="8" t="inlineStr">
        <is>
          <t>No action - already held</t>
        </is>
      </c>
      <c r="Q2" s="8" t="inlineStr"/>
    </row>
    <row r="3">
      <c r="A3" s="10" t="inlineStr">
        <is>
          <t>wang2026</t>
        </is>
      </c>
      <c r="B3" s="10" t="inlineStr">
        <is>
          <t>Yes</t>
        </is>
      </c>
      <c r="C3" s="10" t="inlineStr">
        <is>
          <t>No</t>
        </is>
      </c>
      <c r="D3" s="10" t="inlineStr"/>
      <c r="E3" s="10" t="inlineStr">
        <is>
          <t>core</t>
        </is>
      </c>
      <c r="F3" s="11" t="inlineStr">
        <is>
          <t>architectures</t>
        </is>
      </c>
      <c r="G3" s="11" t="inlineStr">
        <is>
          <t>Wang, et al.</t>
        </is>
      </c>
      <c r="H3" s="10" t="inlineStr">
        <is>
          <t>2026</t>
        </is>
      </c>
      <c r="I3" s="11" t="inlineStr">
        <is>
          <t>Advances in Brain-Computer Interfaces (BCI): Challenges and Opportunities</t>
        </is>
      </c>
      <c r="J3" s="11" t="inlineStr">
        <is>
          <t>Biomimetics</t>
        </is>
      </c>
      <c r="K3" s="10" t="inlineStr">
        <is>
          <t>article</t>
        </is>
      </c>
      <c r="L3" s="10" t="inlineStr"/>
      <c r="M3" s="11" t="inlineStr"/>
      <c r="N3" s="10" t="inlineStr"/>
      <c r="O3" s="12" t="inlineStr">
        <is>
          <t>https://www.mdpi.com/2313-7673/11/2/157</t>
        </is>
      </c>
      <c r="P3" s="11" t="inlineStr">
        <is>
          <t>Collect</t>
        </is>
      </c>
      <c r="Q3" s="11" t="inlineStr"/>
    </row>
    <row r="4">
      <c r="A4" s="7" t="inlineStr">
        <is>
          <t>schwitzgebel2025</t>
        </is>
      </c>
      <c r="B4" s="7" t="inlineStr">
        <is>
          <t>Yes</t>
        </is>
      </c>
      <c r="C4" s="7" t="inlineStr">
        <is>
          <t>Yes</t>
        </is>
      </c>
      <c r="D4" s="7" t="inlineStr">
        <is>
          <t>core</t>
        </is>
      </c>
      <c r="E4" s="7" t="inlineStr">
        <is>
          <t>core</t>
        </is>
      </c>
      <c r="F4" s="8" t="inlineStr">
        <is>
          <t>consciousness</t>
        </is>
      </c>
      <c r="G4" s="8" t="inlineStr">
        <is>
          <t>Schwitzgebel, E.</t>
        </is>
      </c>
      <c r="H4" s="7" t="inlineStr">
        <is>
          <t>2025</t>
        </is>
      </c>
      <c r="I4" s="8" t="inlineStr">
        <is>
          <t>AI and Consciousness</t>
        </is>
      </c>
      <c r="J4" s="8" t="inlineStr">
        <is>
          <t>arXiv 2510.09858</t>
        </is>
      </c>
      <c r="K4" s="7" t="inlineStr">
        <is>
          <t>preprint</t>
        </is>
      </c>
      <c r="L4" s="7" t="inlineStr">
        <is>
          <t>computer_science_ai</t>
        </is>
      </c>
      <c r="M4" s="8" t="inlineStr">
        <is>
          <t>consciousness_theory</t>
        </is>
      </c>
      <c r="N4" s="7" t="inlineStr">
        <is>
          <t>3</t>
        </is>
      </c>
      <c r="O4" s="9" t="inlineStr">
        <is>
          <t>https://arxiv.org/abs/2510.09858</t>
        </is>
      </c>
      <c r="P4" s="8" t="inlineStr">
        <is>
          <t>No action - already held</t>
        </is>
      </c>
      <c r="Q4" s="8" t="inlineStr"/>
    </row>
    <row r="5">
      <c r="A5" s="10" t="inlineStr">
        <is>
          <t>novelli2025</t>
        </is>
      </c>
      <c r="B5" s="10" t="inlineStr">
        <is>
          <t>Yes</t>
        </is>
      </c>
      <c r="C5" s="10" t="inlineStr">
        <is>
          <t>Yes</t>
        </is>
      </c>
      <c r="D5" s="10" t="inlineStr">
        <is>
          <t>adjacent</t>
        </is>
      </c>
      <c r="E5" s="10" t="inlineStr">
        <is>
          <t>core</t>
        </is>
      </c>
      <c r="F5" s="11" t="inlineStr">
        <is>
          <t>legal_personhood</t>
        </is>
      </c>
      <c r="G5" s="11" t="inlineStr">
        <is>
          <t>Novelli, C.; Floridi, L.; Sartor, G.; Teubner, G.</t>
        </is>
      </c>
      <c r="H5" s="10" t="inlineStr">
        <is>
          <t>2025</t>
        </is>
      </c>
      <c r="I5" s="11" t="inlineStr">
        <is>
          <t>AI as legal persons: past, patterns, and prospects</t>
        </is>
      </c>
      <c r="J5" s="11" t="inlineStr">
        <is>
          <t>Journal of Law and Society 52(4)</t>
        </is>
      </c>
      <c r="K5" s="10" t="inlineStr">
        <is>
          <t>article</t>
        </is>
      </c>
      <c r="L5" s="10" t="inlineStr"/>
      <c r="M5" s="11" t="inlineStr"/>
      <c r="N5" s="10" t="inlineStr">
        <is>
          <t>7</t>
        </is>
      </c>
      <c r="O5" s="12" t="inlineStr">
        <is>
          <t>https://philarchive.org/archive/NOVAAL</t>
        </is>
      </c>
      <c r="P5" s="11" t="inlineStr">
        <is>
          <t>No action - already held</t>
        </is>
      </c>
      <c r="Q5" s="11" t="inlineStr"/>
    </row>
    <row r="6">
      <c r="A6" s="7" t="inlineStr">
        <is>
          <t>caviola_forth</t>
        </is>
      </c>
      <c r="B6" s="7" t="inlineStr">
        <is>
          <t>Yes</t>
        </is>
      </c>
      <c r="C6" s="7" t="inlineStr">
        <is>
          <t>Yes</t>
        </is>
      </c>
      <c r="D6" s="7" t="inlineStr">
        <is>
          <t>core</t>
        </is>
      </c>
      <c r="E6" s="7" t="inlineStr">
        <is>
          <t>core</t>
        </is>
      </c>
      <c r="F6" s="8" t="inlineStr">
        <is>
          <t>public_attitudes</t>
        </is>
      </c>
      <c r="G6" s="8" t="inlineStr">
        <is>
          <t>Caviola, L.</t>
        </is>
      </c>
      <c r="H6" s="7" t="inlineStr">
        <is>
          <t>2026</t>
        </is>
      </c>
      <c r="I6" s="8" t="inlineStr">
        <is>
          <t>AI consciousness will divide society</t>
        </is>
      </c>
      <c r="J6" s="8" t="inlineStr">
        <is>
          <t>in Chace &amp; Lappas (Eds.), Perspectives on Machine Consciousness, CRC Press</t>
        </is>
      </c>
      <c r="K6" s="7" t="inlineStr">
        <is>
          <t>chapter</t>
        </is>
      </c>
      <c r="L6" s="7" t="inlineStr">
        <is>
          <t>philosophy</t>
        </is>
      </c>
      <c r="M6" s="8" t="inlineStr">
        <is>
          <t>public_perception;moral_status</t>
        </is>
      </c>
      <c r="N6" s="7" t="inlineStr">
        <is>
          <t>0</t>
        </is>
      </c>
      <c r="O6" s="9" t="inlineStr">
        <is>
          <t>https://osf.io/preprints/psyarxiv/sntva</t>
        </is>
      </c>
      <c r="P6" s="8" t="inlineStr">
        <is>
          <t>No action - already held</t>
        </is>
      </c>
      <c r="Q6" s="8" t="inlineStr"/>
    </row>
    <row r="7">
      <c r="A7" s="10" t="inlineStr">
        <is>
          <t>birch2025</t>
        </is>
      </c>
      <c r="B7" s="10" t="inlineStr">
        <is>
          <t>Yes</t>
        </is>
      </c>
      <c r="C7" s="10" t="inlineStr">
        <is>
          <t>Yes</t>
        </is>
      </c>
      <c r="D7" s="10" t="inlineStr">
        <is>
          <t>core</t>
        </is>
      </c>
      <c r="E7" s="10" t="inlineStr">
        <is>
          <t>core</t>
        </is>
      </c>
      <c r="F7" s="11" t="inlineStr">
        <is>
          <t>consciousness</t>
        </is>
      </c>
      <c r="G7" s="11" t="inlineStr">
        <is>
          <t>Birch, J.</t>
        </is>
      </c>
      <c r="H7" s="10" t="inlineStr">
        <is>
          <t>2025</t>
        </is>
      </c>
      <c r="I7" s="11" t="inlineStr">
        <is>
          <t>AI Consciousness: A Centrist Manifesto</t>
        </is>
      </c>
      <c r="J7" s="11" t="inlineStr">
        <is>
          <t>PhilPapers</t>
        </is>
      </c>
      <c r="K7" s="10" t="inlineStr">
        <is>
          <t>article</t>
        </is>
      </c>
      <c r="L7" s="10" t="inlineStr">
        <is>
          <t>philosophy</t>
        </is>
      </c>
      <c r="M7" s="11" t="inlineStr">
        <is>
          <t>consciousness_theory;public_perception</t>
        </is>
      </c>
      <c r="N7" s="10" t="inlineStr">
        <is>
          <t>41</t>
        </is>
      </c>
      <c r="O7" s="12" t="inlineStr">
        <is>
          <t>https://philpapers.org/rec/BIRACA-4</t>
        </is>
      </c>
      <c r="P7" s="11" t="inlineStr">
        <is>
          <t>No action - already held</t>
        </is>
      </c>
      <c r="Q7" s="11" t="inlineStr"/>
    </row>
    <row r="8">
      <c r="A8" s="7" t="inlineStr">
        <is>
          <t>salib2024b</t>
        </is>
      </c>
      <c r="B8" s="7" t="inlineStr">
        <is>
          <t>Yes</t>
        </is>
      </c>
      <c r="C8" s="7" t="inlineStr">
        <is>
          <t>Verify</t>
        </is>
      </c>
      <c r="D8" s="7" t="inlineStr"/>
      <c r="E8" s="7" t="inlineStr">
        <is>
          <t>core</t>
        </is>
      </c>
      <c r="F8" s="8" t="inlineStr">
        <is>
          <t>ai_rights</t>
        </is>
      </c>
      <c r="G8" s="8" t="inlineStr">
        <is>
          <t>Salib, P.; Goldstein, S.</t>
        </is>
      </c>
      <c r="H8" s="7" t="inlineStr">
        <is>
          <t>2024</t>
        </is>
      </c>
      <c r="I8" s="8" t="inlineStr">
        <is>
          <t>AI Rights for Economic Flourishing</t>
        </is>
      </c>
      <c r="J8" s="8" t="inlineStr">
        <is>
          <t>SSRN 5353214</t>
        </is>
      </c>
      <c r="K8" s="7" t="inlineStr">
        <is>
          <t>preprint</t>
        </is>
      </c>
      <c r="L8" s="7" t="inlineStr"/>
      <c r="M8" s="8" t="inlineStr"/>
      <c r="N8" s="7" t="inlineStr"/>
      <c r="O8" s="9" t="inlineStr">
        <is>
          <t>https://papers.ssrn.com/sol3/papers.cfm?abstract_id=5353214</t>
        </is>
      </c>
      <c r="P8" s="8" t="inlineStr">
        <is>
          <t>Verify against corpus record</t>
        </is>
      </c>
      <c r="Q8" s="8" t="inlineStr">
        <is>
          <t>Corpus holds 'AI Rights for Human Flourishing' (Salib &amp; Goldstein, 2025) - may be this paper retitled on publication. Confirm against SSRN 5353214 before collecting</t>
        </is>
      </c>
    </row>
    <row r="9">
      <c r="A9" s="10" t="inlineStr">
        <is>
          <t>salib2024a</t>
        </is>
      </c>
      <c r="B9" s="10" t="inlineStr">
        <is>
          <t>Yes</t>
        </is>
      </c>
      <c r="C9" s="10" t="inlineStr">
        <is>
          <t>No</t>
        </is>
      </c>
      <c r="D9" s="10" t="inlineStr"/>
      <c r="E9" s="10" t="inlineStr">
        <is>
          <t>core</t>
        </is>
      </c>
      <c r="F9" s="11" t="inlineStr">
        <is>
          <t>ai_rights</t>
        </is>
      </c>
      <c r="G9" s="11" t="inlineStr">
        <is>
          <t>Salib, P.; Goldstein, S.</t>
        </is>
      </c>
      <c r="H9" s="10" t="inlineStr">
        <is>
          <t>2024</t>
        </is>
      </c>
      <c r="I9" s="11" t="inlineStr">
        <is>
          <t>AI Rights for Human Safety</t>
        </is>
      </c>
      <c r="J9" s="11" t="inlineStr">
        <is>
          <t>SSRN 4913167</t>
        </is>
      </c>
      <c r="K9" s="10" t="inlineStr">
        <is>
          <t>preprint</t>
        </is>
      </c>
      <c r="L9" s="10" t="inlineStr"/>
      <c r="M9" s="11" t="inlineStr"/>
      <c r="N9" s="10" t="inlineStr"/>
      <c r="O9" s="12" t="inlineStr">
        <is>
          <t>https://papers.ssrn.com/sol3/papers.cfm?abstract_id=4913167</t>
        </is>
      </c>
      <c r="P9" s="11" t="inlineStr">
        <is>
          <t>Collect</t>
        </is>
      </c>
      <c r="Q9" s="11" t="inlineStr">
        <is>
          <t>Checked by hand: corpus holds only 'AI Rights for Human Flourishing'; this is a distinct paper</t>
        </is>
      </c>
    </row>
    <row r="10">
      <c r="A10" s="7" t="inlineStr">
        <is>
          <t>goldstein2026</t>
        </is>
      </c>
      <c r="B10" s="7" t="inlineStr">
        <is>
          <t>Yes</t>
        </is>
      </c>
      <c r="C10" s="7" t="inlineStr">
        <is>
          <t>Yes</t>
        </is>
      </c>
      <c r="D10" s="7" t="inlineStr">
        <is>
          <t>core</t>
        </is>
      </c>
      <c r="E10" s="7" t="inlineStr">
        <is>
          <t>core</t>
        </is>
      </c>
      <c r="F10" s="8" t="inlineStr">
        <is>
          <t>ai_rights</t>
        </is>
      </c>
      <c r="G10" s="8" t="inlineStr">
        <is>
          <t>Goldstein, S. et al.</t>
        </is>
      </c>
      <c r="H10" s="7" t="inlineStr">
        <is>
          <t>2026</t>
        </is>
      </c>
      <c r="I10" s="8" t="inlineStr">
        <is>
          <t>AI Suffrage for Human Flourishing</t>
        </is>
      </c>
      <c r="J10" s="8" t="inlineStr">
        <is>
          <t>Fordham Law Review</t>
        </is>
      </c>
      <c r="K10" s="7" t="inlineStr">
        <is>
          <t>article</t>
        </is>
      </c>
      <c r="L10" s="7" t="inlineStr">
        <is>
          <t>philosophy</t>
        </is>
      </c>
      <c r="M10" s="8" t="inlineStr">
        <is>
          <t>rights_law</t>
        </is>
      </c>
      <c r="N10" s="7" t="inlineStr">
        <is>
          <t>0</t>
        </is>
      </c>
      <c r="O10" s="9" t="inlineStr">
        <is>
          <t>https://papers.ssrn.com/sol3/papers.cfm?abstract_id=6498678</t>
        </is>
      </c>
      <c r="P10" s="8" t="inlineStr">
        <is>
          <t>No action - already held</t>
        </is>
      </c>
      <c r="Q10" s="8" t="inlineStr"/>
    </row>
    <row r="11">
      <c r="A11" s="10" t="inlineStr">
        <is>
          <t>goldstein2025</t>
        </is>
      </c>
      <c r="B11" s="10" t="inlineStr">
        <is>
          <t>Yes</t>
        </is>
      </c>
      <c r="C11" s="10" t="inlineStr">
        <is>
          <t>Yes</t>
        </is>
      </c>
      <c r="D11" s="10" t="inlineStr">
        <is>
          <t>core</t>
        </is>
      </c>
      <c r="E11" s="10" t="inlineStr">
        <is>
          <t>core</t>
        </is>
      </c>
      <c r="F11" s="11" t="inlineStr">
        <is>
          <t>moral_status</t>
        </is>
      </c>
      <c r="G11" s="11" t="inlineStr">
        <is>
          <t>Goldstein, S.; Kirk-Giannini, C. D.</t>
        </is>
      </c>
      <c r="H11" s="10" t="inlineStr">
        <is>
          <t>2025</t>
        </is>
      </c>
      <c r="I11" s="11" t="inlineStr">
        <is>
          <t>AI Wellbeing</t>
        </is>
      </c>
      <c r="J11" s="11" t="inlineStr">
        <is>
          <t>arXiv 2509.11913</t>
        </is>
      </c>
      <c r="K11" s="10" t="inlineStr">
        <is>
          <t>preprint</t>
        </is>
      </c>
      <c r="L11" s="10" t="inlineStr">
        <is>
          <t>philosophy</t>
        </is>
      </c>
      <c r="M11" s="11" t="inlineStr">
        <is>
          <t>welfare;moral_status</t>
        </is>
      </c>
      <c r="N11" s="10" t="inlineStr">
        <is>
          <t>23</t>
        </is>
      </c>
      <c r="O11" s="12" t="inlineStr">
        <is>
          <t>https://arxiv.org/abs/2509.11913</t>
        </is>
      </c>
      <c r="P11" s="11" t="inlineStr">
        <is>
          <t>No action - already held</t>
        </is>
      </c>
      <c r="Q11" s="11" t="inlineStr"/>
    </row>
    <row r="12">
      <c r="A12" s="7" t="inlineStr">
        <is>
          <t>sirbu2026</t>
        </is>
      </c>
      <c r="B12" s="7" t="inlineStr">
        <is>
          <t>Yes</t>
        </is>
      </c>
      <c r="C12" s="7" t="inlineStr">
        <is>
          <t>No</t>
        </is>
      </c>
      <c r="D12" s="7" t="inlineStr"/>
      <c r="E12" s="7" t="inlineStr">
        <is>
          <t>core</t>
        </is>
      </c>
      <c r="F12" s="8" t="inlineStr">
        <is>
          <t>architectures</t>
        </is>
      </c>
      <c r="G12" s="8" t="inlineStr">
        <is>
          <t>Sirbu, R. A.; Floridi, L.</t>
        </is>
      </c>
      <c r="H12" s="7" t="inlineStr">
        <is>
          <t>2026</t>
        </is>
      </c>
      <c r="I12" s="8" t="inlineStr">
        <is>
          <t>An Analysis of the Governance, Ethical, Legal and Social Implications of Biocomputing</t>
        </is>
      </c>
      <c r="J12" s="8" t="inlineStr">
        <is>
          <t>Science and Engineering Ethics</t>
        </is>
      </c>
      <c r="K12" s="7" t="inlineStr">
        <is>
          <t>article</t>
        </is>
      </c>
      <c r="L12" s="7" t="inlineStr"/>
      <c r="M12" s="8" t="inlineStr"/>
      <c r="N12" s="7" t="inlineStr"/>
      <c r="O12" s="9" t="inlineStr">
        <is>
          <t>https://doi.org/10.1007/s11948-025-00572-x</t>
        </is>
      </c>
      <c r="P12" s="8" t="inlineStr">
        <is>
          <t>Collect</t>
        </is>
      </c>
      <c r="Q12" s="8" t="inlineStr"/>
    </row>
    <row r="13">
      <c r="A13" s="10" t="inlineStr">
        <is>
          <t>bruner2022</t>
        </is>
      </c>
      <c r="B13" s="10" t="inlineStr">
        <is>
          <t>Yes</t>
        </is>
      </c>
      <c r="C13" s="10" t="inlineStr">
        <is>
          <t>No</t>
        </is>
      </c>
      <c r="D13" s="10" t="inlineStr"/>
      <c r="E13" s="10" t="inlineStr">
        <is>
          <t>core</t>
        </is>
      </c>
      <c r="F13" s="11" t="inlineStr">
        <is>
          <t>juridical_personhood</t>
        </is>
      </c>
      <c r="G13" s="11" t="inlineStr">
        <is>
          <t>Bruner, C.</t>
        </is>
      </c>
      <c r="H13" s="10" t="inlineStr">
        <is>
          <t>2022</t>
        </is>
      </c>
      <c r="I13" s="11" t="inlineStr">
        <is>
          <t>Artificially Intelligent Boards and the Future of Delaware Corporate Law</t>
        </is>
      </c>
      <c r="J13" s="11" t="inlineStr">
        <is>
          <t>Journal of Corporate Law Studies 22(4)</t>
        </is>
      </c>
      <c r="K13" s="10" t="inlineStr">
        <is>
          <t>article</t>
        </is>
      </c>
      <c r="L13" s="10" t="inlineStr"/>
      <c r="M13" s="11" t="inlineStr"/>
      <c r="N13" s="10" t="inlineStr"/>
      <c r="O13" s="12" t="inlineStr">
        <is>
          <t>https://digitalcommons.law.uga.edu/fac_artchop/1554/</t>
        </is>
      </c>
      <c r="P13" s="11" t="inlineStr">
        <is>
          <t>Collect</t>
        </is>
      </c>
      <c r="Q13" s="11" t="inlineStr"/>
    </row>
    <row r="14">
      <c r="A14" s="7" t="inlineStr">
        <is>
          <t>weinberg2026</t>
        </is>
      </c>
      <c r="B14" s="7" t="inlineStr">
        <is>
          <t>Yes</t>
        </is>
      </c>
      <c r="C14" s="7" t="inlineStr">
        <is>
          <t>No</t>
        </is>
      </c>
      <c r="D14" s="7" t="inlineStr"/>
      <c r="E14" s="7" t="inlineStr">
        <is>
          <t>marginal</t>
        </is>
      </c>
      <c r="F14" s="8" t="inlineStr">
        <is>
          <t>exclusion_bills</t>
        </is>
      </c>
      <c r="G14" s="8" t="inlineStr">
        <is>
          <t>Weinberg, M.</t>
        </is>
      </c>
      <c r="H14" s="7" t="inlineStr">
        <is>
          <t>2026</t>
        </is>
      </c>
      <c r="I14" s="8" t="inlineStr">
        <is>
          <t>California Sees Ways AI Can Support Policymaking. Here's What It Needs to Succeed</t>
        </is>
      </c>
      <c r="J14" s="8" t="inlineStr">
        <is>
          <t>Carnegie Endowment</t>
        </is>
      </c>
      <c r="K14" s="7" t="inlineStr">
        <is>
          <t>report</t>
        </is>
      </c>
      <c r="L14" s="7" t="inlineStr"/>
      <c r="M14" s="8" t="inlineStr"/>
      <c r="N14" s="7" t="inlineStr"/>
      <c r="O14" s="9" t="inlineStr">
        <is>
          <t>https://carnegieendowment.org/posts/2026/03/california-ai-sb-1159</t>
        </is>
      </c>
      <c r="P14" s="8" t="inlineStr">
        <is>
          <t>Hold (marginal)</t>
        </is>
      </c>
      <c r="Q14" s="8" t="inlineStr"/>
    </row>
    <row r="15">
      <c r="A15" s="10" t="inlineStr">
        <is>
          <t>block2025</t>
        </is>
      </c>
      <c r="B15" s="10" t="inlineStr">
        <is>
          <t>Yes</t>
        </is>
      </c>
      <c r="C15" s="10" t="inlineStr">
        <is>
          <t>Yes</t>
        </is>
      </c>
      <c r="D15" s="10" t="inlineStr">
        <is>
          <t>core</t>
        </is>
      </c>
      <c r="E15" s="10" t="inlineStr">
        <is>
          <t>core</t>
        </is>
      </c>
      <c r="F15" s="11" t="inlineStr">
        <is>
          <t>consciousness</t>
        </is>
      </c>
      <c r="G15" s="11" t="inlineStr">
        <is>
          <t>Block, N.</t>
        </is>
      </c>
      <c r="H15" s="10" t="inlineStr">
        <is>
          <t>2025</t>
        </is>
      </c>
      <c r="I15" s="11" t="inlineStr">
        <is>
          <t>Can only meat machines be conscious?</t>
        </is>
      </c>
      <c r="J15" s="11" t="inlineStr">
        <is>
          <t>Trends in Cognitive Sciences</t>
        </is>
      </c>
      <c r="K15" s="10" t="inlineStr">
        <is>
          <t>article</t>
        </is>
      </c>
      <c r="L15" s="10" t="inlineStr">
        <is>
          <t>philosophy</t>
        </is>
      </c>
      <c r="M15" s="11" t="inlineStr">
        <is>
          <t>consciousness_theory</t>
        </is>
      </c>
      <c r="N15" s="10" t="inlineStr"/>
      <c r="O15" s="12" t="inlineStr">
        <is>
          <t>https://philarchive.org/rec/BLOCOM-3</t>
        </is>
      </c>
      <c r="P15" s="11" t="inlineStr">
        <is>
          <t>No action - already held</t>
        </is>
      </c>
      <c r="Q15" s="11" t="inlineStr"/>
    </row>
    <row r="16">
      <c r="A16" s="7" t="inlineStr">
        <is>
          <t>fordham2025</t>
        </is>
      </c>
      <c r="B16" s="7" t="inlineStr">
        <is>
          <t>Yes</t>
        </is>
      </c>
      <c r="C16" s="7" t="inlineStr">
        <is>
          <t>No</t>
        </is>
      </c>
      <c r="D16" s="7" t="inlineStr"/>
      <c r="E16" s="7" t="inlineStr">
        <is>
          <t>marginal</t>
        </is>
      </c>
      <c r="F16" s="8" t="inlineStr">
        <is>
          <t>juridical_personhood</t>
        </is>
      </c>
      <c r="G16" s="8" t="inlineStr">
        <is>
          <t>Fordham, R. F.</t>
        </is>
      </c>
      <c r="H16" s="7" t="inlineStr">
        <is>
          <t>2025</t>
        </is>
      </c>
      <c r="I16" s="8" t="inlineStr">
        <is>
          <t>Citizens United and the Decline of US Democracy: Assessing the Decision's Impact 15 Years Later</t>
        </is>
      </c>
      <c r="J16" s="8" t="inlineStr">
        <is>
          <t>Roosevelt Institute</t>
        </is>
      </c>
      <c r="K16" s="7" t="inlineStr">
        <is>
          <t>report</t>
        </is>
      </c>
      <c r="L16" s="7" t="inlineStr"/>
      <c r="M16" s="8" t="inlineStr"/>
      <c r="N16" s="7" t="inlineStr"/>
      <c r="O16" s="9" t="inlineStr">
        <is>
          <t>https://rooseveltinstitute.org/publications/citizens-united-15-years-later/</t>
        </is>
      </c>
      <c r="P16" s="8" t="inlineStr">
        <is>
          <t>Hold (marginal)</t>
        </is>
      </c>
      <c r="Q16" s="8" t="inlineStr"/>
    </row>
    <row r="17">
      <c r="A17" s="10" t="inlineStr">
        <is>
          <t>seth2025</t>
        </is>
      </c>
      <c r="B17" s="10" t="inlineStr">
        <is>
          <t>Yes</t>
        </is>
      </c>
      <c r="C17" s="10" t="inlineStr">
        <is>
          <t>Yes</t>
        </is>
      </c>
      <c r="D17" s="10" t="inlineStr">
        <is>
          <t>core</t>
        </is>
      </c>
      <c r="E17" s="10" t="inlineStr">
        <is>
          <t>core</t>
        </is>
      </c>
      <c r="F17" s="11" t="inlineStr">
        <is>
          <t>consciousness</t>
        </is>
      </c>
      <c r="G17" s="11" t="inlineStr">
        <is>
          <t>Seth, A. K.</t>
        </is>
      </c>
      <c r="H17" s="10" t="inlineStr">
        <is>
          <t>2025</t>
        </is>
      </c>
      <c r="I17" s="11" t="inlineStr">
        <is>
          <t>Conscious artificial intelligence and biological naturalism</t>
        </is>
      </c>
      <c r="J17" s="11" t="inlineStr">
        <is>
          <t>Behavioral and Brain Sciences 48, e89</t>
        </is>
      </c>
      <c r="K17" s="10" t="inlineStr">
        <is>
          <t>article</t>
        </is>
      </c>
      <c r="L17" s="10" t="inlineStr">
        <is>
          <t>cognitive_science_neuroscience</t>
        </is>
      </c>
      <c r="M17" s="11" t="inlineStr">
        <is>
          <t>consciousness_theory;moral_status</t>
        </is>
      </c>
      <c r="N17" s="10" t="inlineStr">
        <is>
          <t>214</t>
        </is>
      </c>
      <c r="O17" s="12" t="inlineStr">
        <is>
          <t>https://doi.org/10.1017/S0140525X25000032</t>
        </is>
      </c>
      <c r="P17" s="11" t="inlineStr">
        <is>
          <t>No action - already held</t>
        </is>
      </c>
      <c r="Q17" s="11" t="inlineStr"/>
    </row>
    <row r="18">
      <c r="A18" s="7" t="inlineStr">
        <is>
          <t>vangulick2026</t>
        </is>
      </c>
      <c r="B18" s="7" t="inlineStr">
        <is>
          <t>Yes</t>
        </is>
      </c>
      <c r="C18" s="7" t="inlineStr">
        <is>
          <t>Yes</t>
        </is>
      </c>
      <c r="D18" s="7" t="inlineStr">
        <is>
          <t>canon</t>
        </is>
      </c>
      <c r="E18" s="7" t="inlineStr">
        <is>
          <t>core</t>
        </is>
      </c>
      <c r="F18" s="8" t="inlineStr">
        <is>
          <t>consciousness</t>
        </is>
      </c>
      <c r="G18" s="8" t="inlineStr">
        <is>
          <t>Van Gulick, R.</t>
        </is>
      </c>
      <c r="H18" s="7" t="inlineStr">
        <is>
          <t>2026</t>
        </is>
      </c>
      <c r="I18" s="8" t="inlineStr">
        <is>
          <t>Consciousness</t>
        </is>
      </c>
      <c r="J18" s="8" t="inlineStr">
        <is>
          <t>Stanford Encyclopedia of Philosophy</t>
        </is>
      </c>
      <c r="K18" s="7" t="inlineStr">
        <is>
          <t>encyclopedia</t>
        </is>
      </c>
      <c r="L18" s="7" t="inlineStr">
        <is>
          <t>philosophy</t>
        </is>
      </c>
      <c r="M18" s="8" t="inlineStr">
        <is>
          <t>consciousness_theory</t>
        </is>
      </c>
      <c r="N18" s="7" t="inlineStr">
        <is>
          <t>125</t>
        </is>
      </c>
      <c r="O18" s="9" t="inlineStr">
        <is>
          <t>https://plato.stanford.edu/archives/spr2026/entries/consciousness/</t>
        </is>
      </c>
      <c r="P18" s="8" t="inlineStr">
        <is>
          <t>No action - already held</t>
        </is>
      </c>
      <c r="Q18" s="8" t="inlineStr"/>
    </row>
    <row r="19">
      <c r="A19" s="10" t="inlineStr">
        <is>
          <t>butlin2023</t>
        </is>
      </c>
      <c r="B19" s="10" t="inlineStr">
        <is>
          <t>Yes</t>
        </is>
      </c>
      <c r="C19" s="10" t="inlineStr">
        <is>
          <t>No</t>
        </is>
      </c>
      <c r="D19" s="10" t="inlineStr"/>
      <c r="E19" s="10" t="inlineStr">
        <is>
          <t>core</t>
        </is>
      </c>
      <c r="F19" s="11" t="inlineStr">
        <is>
          <t>consciousness</t>
        </is>
      </c>
      <c r="G19" s="11" t="inlineStr">
        <is>
          <t>Butlin, P. et al.</t>
        </is>
      </c>
      <c r="H19" s="10" t="inlineStr">
        <is>
          <t>2023</t>
        </is>
      </c>
      <c r="I19" s="11" t="inlineStr">
        <is>
          <t>Consciousness in Artificial Intelligence: Insights from the Science of Consciousness</t>
        </is>
      </c>
      <c r="J19" s="11" t="inlineStr">
        <is>
          <t>arXiv 2308.08708</t>
        </is>
      </c>
      <c r="K19" s="10" t="inlineStr">
        <is>
          <t>preprint</t>
        </is>
      </c>
      <c r="L19" s="10" t="inlineStr"/>
      <c r="M19" s="11" t="inlineStr"/>
      <c r="N19" s="10" t="inlineStr"/>
      <c r="O19" s="12" t="inlineStr">
        <is>
          <t>https://arxiv.org/abs/2308.08708</t>
        </is>
      </c>
      <c r="P19" s="11" t="inlineStr">
        <is>
          <t>Collect</t>
        </is>
      </c>
      <c r="Q19" s="11" t="inlineStr">
        <is>
          <t>Checked by hand: corpus holds other Butlin works (Identifying indicators of consciousness, 2025) but NOT the arXiv 2308.08708 report</t>
        </is>
      </c>
    </row>
    <row r="20">
      <c r="A20" s="7" t="inlineStr">
        <is>
          <t>ryan2021</t>
        </is>
      </c>
      <c r="B20" s="7" t="inlineStr">
        <is>
          <t>Yes</t>
        </is>
      </c>
      <c r="C20" s="7" t="inlineStr">
        <is>
          <t>No</t>
        </is>
      </c>
      <c r="D20" s="7" t="inlineStr"/>
      <c r="E20" s="7" t="inlineStr">
        <is>
          <t>core</t>
        </is>
      </c>
      <c r="F20" s="8" t="inlineStr">
        <is>
          <t>rights_of_nature</t>
        </is>
      </c>
      <c r="G20" s="8" t="inlineStr">
        <is>
          <t>Ryan, E.; Curry, H. P.; Rule, H.</t>
        </is>
      </c>
      <c r="H20" s="7" t="inlineStr">
        <is>
          <t>2021</t>
        </is>
      </c>
      <c r="I20" s="8" t="inlineStr">
        <is>
          <t>Environmental Rights for the 21st Century: A Comprehensive Analysis of the Public Trust Doctrine and Rights of Nature Movement</t>
        </is>
      </c>
      <c r="J20" s="8" t="inlineStr">
        <is>
          <t>Cardozo Law Review 42(6)</t>
        </is>
      </c>
      <c r="K20" s="7" t="inlineStr">
        <is>
          <t>article</t>
        </is>
      </c>
      <c r="L20" s="7" t="inlineStr"/>
      <c r="M20" s="8" t="inlineStr"/>
      <c r="N20" s="7" t="inlineStr"/>
      <c r="O20" s="9" t="inlineStr">
        <is>
          <t>https://larc.cardozo.yu.edu/clr/vol42/iss6/8/</t>
        </is>
      </c>
      <c r="P20" s="8" t="inlineStr">
        <is>
          <t>Collect</t>
        </is>
      </c>
      <c r="Q20" s="8" t="inlineStr"/>
    </row>
    <row r="21">
      <c r="A21" s="10" t="inlineStr">
        <is>
          <t>alexander2026</t>
        </is>
      </c>
      <c r="B21" s="10" t="inlineStr">
        <is>
          <t>Yes</t>
        </is>
      </c>
      <c r="C21" s="10" t="inlineStr">
        <is>
          <t>Yes</t>
        </is>
      </c>
      <c r="D21" s="10" t="inlineStr">
        <is>
          <t>core</t>
        </is>
      </c>
      <c r="E21" s="10" t="inlineStr">
        <is>
          <t>core</t>
        </is>
      </c>
      <c r="F21" s="11" t="inlineStr">
        <is>
          <t>legal_personhood</t>
        </is>
      </c>
      <c r="G21" s="11" t="inlineStr">
        <is>
          <t>Alexander et al.</t>
        </is>
      </c>
      <c r="H21" s="10" t="inlineStr">
        <is>
          <t>2026</t>
        </is>
      </c>
      <c r="I21" s="11" t="inlineStr">
        <is>
          <t>How Should the Law Treat Future AI Systems? Fictional Legal Personhood versus Legal Identity</t>
        </is>
      </c>
      <c r="J21" s="11" t="inlineStr">
        <is>
          <t>Case Western Journal of Law, Technology &amp; the Internet</t>
        </is>
      </c>
      <c r="K21" s="10" t="inlineStr">
        <is>
          <t>article</t>
        </is>
      </c>
      <c r="L21" s="10" t="inlineStr">
        <is>
          <t>law</t>
        </is>
      </c>
      <c r="M21" s="11" t="inlineStr">
        <is>
          <t>rights_law</t>
        </is>
      </c>
      <c r="N21" s="10" t="inlineStr"/>
      <c r="O21" s="12" t="inlineStr">
        <is>
          <t>https://scholarlycommons.law.case.edu/jolti/vol17/iss1/3/</t>
        </is>
      </c>
      <c r="P21" s="11" t="inlineStr">
        <is>
          <t>No action - already held</t>
        </is>
      </c>
      <c r="Q21" s="11" t="inlineStr"/>
    </row>
    <row r="22">
      <c r="A22" s="7" t="inlineStr">
        <is>
          <t>arbel2026</t>
        </is>
      </c>
      <c r="B22" s="7" t="inlineStr">
        <is>
          <t>Yes</t>
        </is>
      </c>
      <c r="C22" s="7" t="inlineStr">
        <is>
          <t>Yes</t>
        </is>
      </c>
      <c r="D22" s="7" t="inlineStr">
        <is>
          <t>core</t>
        </is>
      </c>
      <c r="E22" s="7" t="inlineStr">
        <is>
          <t>core</t>
        </is>
      </c>
      <c r="F22" s="8" t="inlineStr">
        <is>
          <t>legal_personhood</t>
        </is>
      </c>
      <c r="G22" s="8" t="inlineStr">
        <is>
          <t>Arbel, Y.; Salib, P.; Goldstein, S.</t>
        </is>
      </c>
      <c r="H22" s="7" t="inlineStr">
        <is>
          <t>2026</t>
        </is>
      </c>
      <c r="I22" s="8" t="inlineStr">
        <is>
          <t>How to Count AIs: Individuation and Liability for AI Agents</t>
        </is>
      </c>
      <c r="J22" s="8" t="inlineStr">
        <is>
          <t>arXiv 2603.10028</t>
        </is>
      </c>
      <c r="K22" s="7" t="inlineStr">
        <is>
          <t>preprint</t>
        </is>
      </c>
      <c r="L22" s="7" t="inlineStr">
        <is>
          <t>law</t>
        </is>
      </c>
      <c r="M22" s="8" t="inlineStr">
        <is>
          <t>rights_law</t>
        </is>
      </c>
      <c r="N22" s="7" t="inlineStr"/>
      <c r="O22" s="9" t="inlineStr">
        <is>
          <t>https://arxiv.org/abs/2603.10028</t>
        </is>
      </c>
      <c r="P22" s="8" t="inlineStr">
        <is>
          <t>No action - already held</t>
        </is>
      </c>
      <c r="Q22" s="8" t="inlineStr"/>
    </row>
    <row r="23">
      <c r="A23" s="10" t="inlineStr">
        <is>
          <t>shiller2026</t>
        </is>
      </c>
      <c r="B23" s="10" t="inlineStr">
        <is>
          <t>Yes</t>
        </is>
      </c>
      <c r="C23" s="10" t="inlineStr">
        <is>
          <t>Yes</t>
        </is>
      </c>
      <c r="D23" s="10" t="inlineStr">
        <is>
          <t>core</t>
        </is>
      </c>
      <c r="E23" s="10" t="inlineStr">
        <is>
          <t>core</t>
        </is>
      </c>
      <c r="F23" s="11" t="inlineStr">
        <is>
          <t>consciousness</t>
        </is>
      </c>
      <c r="G23" s="11" t="inlineStr">
        <is>
          <t>Shiller, D. et al.</t>
        </is>
      </c>
      <c r="H23" s="10" t="inlineStr">
        <is>
          <t>2026</t>
        </is>
      </c>
      <c r="I23" s="11" t="inlineStr">
        <is>
          <t>Initial results of the Digital Consciousness Model</t>
        </is>
      </c>
      <c r="J23" s="11" t="inlineStr">
        <is>
          <t>arXiv 2601.17060</t>
        </is>
      </c>
      <c r="K23" s="10" t="inlineStr">
        <is>
          <t>preprint</t>
        </is>
      </c>
      <c r="L23" s="10" t="inlineStr">
        <is>
          <t>computer_science_ai</t>
        </is>
      </c>
      <c r="M23" s="11" t="inlineStr">
        <is>
          <t>detection_measurement;consciousness_theory</t>
        </is>
      </c>
      <c r="N23" s="10" t="inlineStr">
        <is>
          <t>0</t>
        </is>
      </c>
      <c r="O23" s="12" t="inlineStr">
        <is>
          <t>https://arxiv.org/abs/2601.17060</t>
        </is>
      </c>
      <c r="P23" s="11" t="inlineStr">
        <is>
          <t>No action - already held</t>
        </is>
      </c>
      <c r="Q23" s="11" t="inlineStr"/>
    </row>
    <row r="24">
      <c r="A24" s="7" t="inlineStr">
        <is>
          <t>bengio2026</t>
        </is>
      </c>
      <c r="B24" s="7" t="inlineStr">
        <is>
          <t>Yes</t>
        </is>
      </c>
      <c r="C24" s="7" t="inlineStr">
        <is>
          <t>No</t>
        </is>
      </c>
      <c r="D24" s="7" t="inlineStr"/>
      <c r="E24" s="7" t="inlineStr">
        <is>
          <t>core</t>
        </is>
      </c>
      <c r="F24" s="8" t="inlineStr">
        <is>
          <t>ai_safety</t>
        </is>
      </c>
      <c r="G24" s="8" t="inlineStr">
        <is>
          <t>Bengio, Y. et al.</t>
        </is>
      </c>
      <c r="H24" s="7" t="inlineStr">
        <is>
          <t>2026</t>
        </is>
      </c>
      <c r="I24" s="8" t="inlineStr">
        <is>
          <t>International AI Safety Report 2026</t>
        </is>
      </c>
      <c r="J24" s="8" t="inlineStr">
        <is>
          <t>arXiv 2602.21012</t>
        </is>
      </c>
      <c r="K24" s="7" t="inlineStr">
        <is>
          <t>report</t>
        </is>
      </c>
      <c r="L24" s="7" t="inlineStr"/>
      <c r="M24" s="8" t="inlineStr"/>
      <c r="N24" s="7" t="inlineStr"/>
      <c r="O24" s="9" t="inlineStr">
        <is>
          <t>https://arxiv.org/abs/2602.21012</t>
        </is>
      </c>
      <c r="P24" s="8" t="inlineStr">
        <is>
          <t>Collect</t>
        </is>
      </c>
      <c r="Q24" s="8" t="inlineStr"/>
    </row>
    <row r="25">
      <c r="A25" s="10" t="inlineStr">
        <is>
          <t>carlsmith2022</t>
        </is>
      </c>
      <c r="B25" s="10" t="inlineStr">
        <is>
          <t>Yes</t>
        </is>
      </c>
      <c r="C25" s="10" t="inlineStr">
        <is>
          <t>Yes</t>
        </is>
      </c>
      <c r="D25" s="10" t="inlineStr">
        <is>
          <t>adjacent</t>
        </is>
      </c>
      <c r="E25" s="10" t="inlineStr">
        <is>
          <t>core</t>
        </is>
      </c>
      <c r="F25" s="11" t="inlineStr">
        <is>
          <t>ai_safety</t>
        </is>
      </c>
      <c r="G25" s="11" t="inlineStr">
        <is>
          <t>Carlsmith, J.</t>
        </is>
      </c>
      <c r="H25" s="10" t="inlineStr">
        <is>
          <t>2022</t>
        </is>
      </c>
      <c r="I25" s="11" t="inlineStr">
        <is>
          <t>Is Power-Seeking AI an Existential Risk?</t>
        </is>
      </c>
      <c r="J25" s="11" t="inlineStr">
        <is>
          <t>arXiv 2206.13353</t>
        </is>
      </c>
      <c r="K25" s="10" t="inlineStr">
        <is>
          <t>preprint</t>
        </is>
      </c>
      <c r="L25" s="10" t="inlineStr"/>
      <c r="M25" s="11" t="inlineStr"/>
      <c r="N25" s="10" t="inlineStr">
        <is>
          <t>37</t>
        </is>
      </c>
      <c r="O25" s="12" t="inlineStr">
        <is>
          <t>https://arxiv.org/abs/2206.13353</t>
        </is>
      </c>
      <c r="P25" s="11" t="inlineStr">
        <is>
          <t>No action - already held</t>
        </is>
      </c>
      <c r="Q25" s="11" t="inlineStr"/>
    </row>
    <row r="26">
      <c r="A26" s="7" t="inlineStr">
        <is>
          <t>wei2023</t>
        </is>
      </c>
      <c r="B26" s="7" t="inlineStr">
        <is>
          <t>Yes</t>
        </is>
      </c>
      <c r="C26" s="7" t="inlineStr">
        <is>
          <t>No</t>
        </is>
      </c>
      <c r="D26" s="7" t="inlineStr"/>
      <c r="E26" s="7" t="inlineStr">
        <is>
          <t>core</t>
        </is>
      </c>
      <c r="F26" s="8" t="inlineStr">
        <is>
          <t>capabilities</t>
        </is>
      </c>
      <c r="G26" s="8" t="inlineStr">
        <is>
          <t>Wei, A. et al.</t>
        </is>
      </c>
      <c r="H26" s="7" t="inlineStr">
        <is>
          <t>2023</t>
        </is>
      </c>
      <c r="I26" s="8" t="inlineStr">
        <is>
          <t>Jailbroken: How Does LLM Safety Training Fail?</t>
        </is>
      </c>
      <c r="J26" s="8" t="inlineStr">
        <is>
          <t>arXiv 2307.02483</t>
        </is>
      </c>
      <c r="K26" s="7" t="inlineStr">
        <is>
          <t>preprint</t>
        </is>
      </c>
      <c r="L26" s="7" t="inlineStr"/>
      <c r="M26" s="8" t="inlineStr"/>
      <c r="N26" s="7" t="inlineStr"/>
      <c r="O26" s="9" t="inlineStr">
        <is>
          <t>https://arxiv.org/abs/2307.02483</t>
        </is>
      </c>
      <c r="P26" s="8" t="inlineStr">
        <is>
          <t>Collect</t>
        </is>
      </c>
      <c r="Q26" s="8" t="inlineStr"/>
    </row>
    <row r="27">
      <c r="A27" s="10" t="inlineStr">
        <is>
          <t>jones2025</t>
        </is>
      </c>
      <c r="B27" s="10" t="inlineStr">
        <is>
          <t>Yes</t>
        </is>
      </c>
      <c r="C27" s="10" t="inlineStr">
        <is>
          <t>Yes</t>
        </is>
      </c>
      <c r="D27" s="10" t="inlineStr">
        <is>
          <t>adjacent</t>
        </is>
      </c>
      <c r="E27" s="10" t="inlineStr">
        <is>
          <t>core</t>
        </is>
      </c>
      <c r="F27" s="11" t="inlineStr">
        <is>
          <t>capabilities</t>
        </is>
      </c>
      <c r="G27" s="11" t="inlineStr">
        <is>
          <t>Jones, C. R.; Bergen, B. K.</t>
        </is>
      </c>
      <c r="H27" s="10" t="inlineStr">
        <is>
          <t>2025</t>
        </is>
      </c>
      <c r="I27" s="11" t="inlineStr">
        <is>
          <t>Large Language Models Pass the Turing Test</t>
        </is>
      </c>
      <c r="J27" s="11" t="inlineStr">
        <is>
          <t>arXiv 2503.23674</t>
        </is>
      </c>
      <c r="K27" s="10" t="inlineStr">
        <is>
          <t>preprint</t>
        </is>
      </c>
      <c r="L27" s="10" t="inlineStr"/>
      <c r="M27" s="11" t="inlineStr"/>
      <c r="N27" s="10" t="inlineStr">
        <is>
          <t>10</t>
        </is>
      </c>
      <c r="O27" s="12" t="inlineStr">
        <is>
          <t>https://arxiv.org/abs/2503.23674</t>
        </is>
      </c>
      <c r="P27" s="11" t="inlineStr">
        <is>
          <t>No action - already held</t>
        </is>
      </c>
      <c r="Q27" s="11" t="inlineStr"/>
    </row>
    <row r="28">
      <c r="A28" s="7" t="inlineStr">
        <is>
          <t>okeefe2025</t>
        </is>
      </c>
      <c r="B28" s="7" t="inlineStr">
        <is>
          <t>Yes</t>
        </is>
      </c>
      <c r="C28" s="7" t="inlineStr">
        <is>
          <t>No</t>
        </is>
      </c>
      <c r="D28" s="7" t="inlineStr"/>
      <c r="E28" s="7" t="inlineStr">
        <is>
          <t>core</t>
        </is>
      </c>
      <c r="F28" s="8" t="inlineStr">
        <is>
          <t>ai_rights</t>
        </is>
      </c>
      <c r="G28" s="8" t="inlineStr">
        <is>
          <t>O'Keefe, C. et al.</t>
        </is>
      </c>
      <c r="H28" s="7" t="inlineStr">
        <is>
          <t>2025</t>
        </is>
      </c>
      <c r="I28" s="8" t="inlineStr">
        <is>
          <t>Law-following AI: Designing AI agents to obey human laws</t>
        </is>
      </c>
      <c r="J28" s="8" t="inlineStr">
        <is>
          <t>Fordham Law Review 94(1)</t>
        </is>
      </c>
      <c r="K28" s="7" t="inlineStr">
        <is>
          <t>article</t>
        </is>
      </c>
      <c r="L28" s="7" t="inlineStr"/>
      <c r="M28" s="8" t="inlineStr"/>
      <c r="N28" s="7" t="inlineStr"/>
      <c r="O28" s="9" t="inlineStr">
        <is>
          <t>https://law-ai.org/law-following-ai/</t>
        </is>
      </c>
      <c r="P28" s="8" t="inlineStr">
        <is>
          <t>Collect</t>
        </is>
      </c>
      <c r="Q28" s="8" t="inlineStr"/>
    </row>
    <row r="29">
      <c r="A29" s="10" t="inlineStr">
        <is>
          <t>solum1992</t>
        </is>
      </c>
      <c r="B29" s="10" t="inlineStr">
        <is>
          <t>Yes</t>
        </is>
      </c>
      <c r="C29" s="10" t="inlineStr">
        <is>
          <t>Yes</t>
        </is>
      </c>
      <c r="D29" s="10" t="inlineStr">
        <is>
          <t>adjacent</t>
        </is>
      </c>
      <c r="E29" s="10" t="inlineStr">
        <is>
          <t>core</t>
        </is>
      </c>
      <c r="F29" s="11" t="inlineStr">
        <is>
          <t>legal_personhood</t>
        </is>
      </c>
      <c r="G29" s="11" t="inlineStr">
        <is>
          <t>Solum, L. B.</t>
        </is>
      </c>
      <c r="H29" s="10" t="inlineStr">
        <is>
          <t>1992</t>
        </is>
      </c>
      <c r="I29" s="11" t="inlineStr">
        <is>
          <t>Legal Personhood for Artificial Intelligences</t>
        </is>
      </c>
      <c r="J29" s="11" t="inlineStr">
        <is>
          <t>North Carolina Law Review 70(4)</t>
        </is>
      </c>
      <c r="K29" s="10" t="inlineStr">
        <is>
          <t>article</t>
        </is>
      </c>
      <c r="L29" s="10" t="inlineStr"/>
      <c r="M29" s="11" t="inlineStr"/>
      <c r="N29" s="10" t="inlineStr">
        <is>
          <t>88</t>
        </is>
      </c>
      <c r="O29" s="12" t="inlineStr">
        <is>
          <t>https://scholarship.law.unc.edu/nclr/vol70/iss4/4/</t>
        </is>
      </c>
      <c r="P29" s="11" t="inlineStr">
        <is>
          <t>No action - already held</t>
        </is>
      </c>
      <c r="Q29" s="11" t="inlineStr"/>
    </row>
    <row r="30">
      <c r="A30" s="7" t="inlineStr">
        <is>
          <t>liebman2026</t>
        </is>
      </c>
      <c r="B30" s="7" t="inlineStr">
        <is>
          <t>Yes</t>
        </is>
      </c>
      <c r="C30" s="7" t="inlineStr">
        <is>
          <t>Yes</t>
        </is>
      </c>
      <c r="D30" s="7" t="inlineStr">
        <is>
          <t>core</t>
        </is>
      </c>
      <c r="E30" s="7" t="inlineStr">
        <is>
          <t>core</t>
        </is>
      </c>
      <c r="F30" s="8" t="inlineStr">
        <is>
          <t>exclusion_bills</t>
        </is>
      </c>
      <c r="G30" s="8" t="inlineStr">
        <is>
          <t>Liebman, M.</t>
        </is>
      </c>
      <c r="H30" s="7" t="inlineStr">
        <is>
          <t>2026</t>
        </is>
      </c>
      <c r="I30" s="8" t="inlineStr">
        <is>
          <t>Legislating Nonpersonhood</t>
        </is>
      </c>
      <c r="J30" s="8" t="inlineStr">
        <is>
          <t>Wake Forest Law Review 61:115</t>
        </is>
      </c>
      <c r="K30" s="7" t="inlineStr">
        <is>
          <t>article</t>
        </is>
      </c>
      <c r="L30" s="7" t="inlineStr">
        <is>
          <t>law</t>
        </is>
      </c>
      <c r="M30" s="8" t="inlineStr">
        <is>
          <t>rights_law</t>
        </is>
      </c>
      <c r="N30" s="7" t="inlineStr">
        <is>
          <t>1</t>
        </is>
      </c>
      <c r="O30" s="9" t="inlineStr">
        <is>
          <t>https://www.wakeforestlawreview.com/2026/04/legislating-nonpersonhood/</t>
        </is>
      </c>
      <c r="P30" s="8" t="inlineStr">
        <is>
          <t>No action - already held</t>
        </is>
      </c>
      <c r="Q30" s="8" t="inlineStr"/>
    </row>
    <row r="31">
      <c r="A31" s="10" t="inlineStr">
        <is>
          <t>ivanov2022</t>
        </is>
      </c>
      <c r="B31" s="10" t="inlineStr">
        <is>
          <t>Yes</t>
        </is>
      </c>
      <c r="C31" s="10" t="inlineStr">
        <is>
          <t>No</t>
        </is>
      </c>
      <c r="D31" s="10" t="inlineStr"/>
      <c r="E31" s="10" t="inlineStr">
        <is>
          <t>core</t>
        </is>
      </c>
      <c r="F31" s="11" t="inlineStr">
        <is>
          <t>architectures</t>
        </is>
      </c>
      <c r="G31" s="11" t="inlineStr">
        <is>
          <t>Ivanov, D. et al.</t>
        </is>
      </c>
      <c r="H31" s="10" t="inlineStr">
        <is>
          <t>2022</t>
        </is>
      </c>
      <c r="I31" s="11" t="inlineStr">
        <is>
          <t>Neuromorphic artificial intelligence systems</t>
        </is>
      </c>
      <c r="J31" s="11" t="inlineStr">
        <is>
          <t>Frontiers in Neuroscience</t>
        </is>
      </c>
      <c r="K31" s="10" t="inlineStr">
        <is>
          <t>article</t>
        </is>
      </c>
      <c r="L31" s="10" t="inlineStr"/>
      <c r="M31" s="11" t="inlineStr"/>
      <c r="N31" s="10" t="inlineStr"/>
      <c r="O31" s="12" t="inlineStr">
        <is>
          <t>https://www.frontiersin.org/journals/neuroscience/articles/10.3389/fnins.2022.959626/full</t>
        </is>
      </c>
      <c r="P31" s="11" t="inlineStr">
        <is>
          <t>Collect</t>
        </is>
      </c>
      <c r="Q31" s="11" t="inlineStr">
        <is>
          <t>Checked by hand: corpus neuromorphic entries are different papers (Shiller 2025, Wang 2025)</t>
        </is>
      </c>
    </row>
    <row r="32">
      <c r="A32" s="7" t="inlineStr">
        <is>
          <t>buck2024</t>
        </is>
      </c>
      <c r="B32" s="7" t="inlineStr">
        <is>
          <t>Yes</t>
        </is>
      </c>
      <c r="C32" s="7" t="inlineStr">
        <is>
          <t>No</t>
        </is>
      </c>
      <c r="D32" s="7" t="inlineStr"/>
      <c r="E32" s="7" t="inlineStr">
        <is>
          <t>marginal</t>
        </is>
      </c>
      <c r="F32" s="8" t="inlineStr">
        <is>
          <t>definitions</t>
        </is>
      </c>
      <c r="G32" s="8" t="inlineStr">
        <is>
          <t>Buck, S.</t>
        </is>
      </c>
      <c r="H32" s="7" t="inlineStr">
        <is>
          <t>2024</t>
        </is>
      </c>
      <c r="I32" s="8" t="inlineStr">
        <is>
          <t>Regulating AI Is Confusing</t>
        </is>
      </c>
      <c r="J32" s="8" t="inlineStr">
        <is>
          <t>The Good Science Project</t>
        </is>
      </c>
      <c r="K32" s="7" t="inlineStr">
        <is>
          <t>blog</t>
        </is>
      </c>
      <c r="L32" s="7" t="inlineStr"/>
      <c r="M32" s="8" t="inlineStr"/>
      <c r="N32" s="7" t="inlineStr"/>
      <c r="O32" s="9" t="inlineStr">
        <is>
          <t>https://goodscience.substack.com/p/regulating-ai-is-confusing</t>
        </is>
      </c>
      <c r="P32" s="8" t="inlineStr">
        <is>
          <t>Hold (marginal)</t>
        </is>
      </c>
      <c r="Q32" s="8" t="inlineStr"/>
    </row>
    <row r="33">
      <c r="A33" s="10" t="inlineStr">
        <is>
          <t>bariach2026</t>
        </is>
      </c>
      <c r="B33" s="10" t="inlineStr">
        <is>
          <t>Yes</t>
        </is>
      </c>
      <c r="C33" s="10" t="inlineStr">
        <is>
          <t>Yes</t>
        </is>
      </c>
      <c r="D33" s="10" t="inlineStr">
        <is>
          <t>core</t>
        </is>
      </c>
      <c r="E33" s="10" t="inlineStr">
        <is>
          <t>core</t>
        </is>
      </c>
      <c r="F33" s="11" t="inlineStr">
        <is>
          <t>consciousness_attribution</t>
        </is>
      </c>
      <c r="G33" s="11" t="inlineStr">
        <is>
          <t>Bariach, B. et al.</t>
        </is>
      </c>
      <c r="H33" s="10" t="inlineStr">
        <is>
          <t>2026</t>
        </is>
      </c>
      <c r="I33" s="11" t="inlineStr">
        <is>
          <t>Seemingly Conscious AI Risks</t>
        </is>
      </c>
      <c r="J33" s="11" t="inlineStr">
        <is>
          <t>SSRN</t>
        </is>
      </c>
      <c r="K33" s="10" t="inlineStr">
        <is>
          <t>preprint</t>
        </is>
      </c>
      <c r="L33" s="10" t="inlineStr">
        <is>
          <t>computer_science_ai</t>
        </is>
      </c>
      <c r="M33" s="11" t="inlineStr">
        <is>
          <t>detection_measurement;public_perception;safety_alignment</t>
        </is>
      </c>
      <c r="N33" s="10" t="inlineStr"/>
      <c r="O33" s="12" t="inlineStr">
        <is>
          <t>https://papers.ssrn.com/sol3/papers.cfm?abstract_id=6588659</t>
        </is>
      </c>
      <c r="P33" s="11" t="inlineStr">
        <is>
          <t>No action - already held</t>
        </is>
      </c>
      <c r="Q33" s="11" t="inlineStr"/>
    </row>
    <row r="34">
      <c r="A34" s="7" t="inlineStr">
        <is>
          <t>curhan2025</t>
        </is>
      </c>
      <c r="B34" s="7" t="inlineStr">
        <is>
          <t>Yes</t>
        </is>
      </c>
      <c r="C34" s="7" t="inlineStr">
        <is>
          <t>No</t>
        </is>
      </c>
      <c r="D34" s="7" t="inlineStr"/>
      <c r="E34" s="7" t="inlineStr">
        <is>
          <t>marginal</t>
        </is>
      </c>
      <c r="F34" s="8" t="inlineStr">
        <is>
          <t>fetal_personhood</t>
        </is>
      </c>
      <c r="G34" s="8" t="inlineStr">
        <is>
          <t>Curhan, et al.</t>
        </is>
      </c>
      <c r="H34" s="7" t="inlineStr">
        <is>
          <t>2025</t>
        </is>
      </c>
      <c r="I34" s="8" t="inlineStr">
        <is>
          <t>State Policy Trends 2025: Midyear Analysis</t>
        </is>
      </c>
      <c r="J34" s="8" t="inlineStr">
        <is>
          <t>Guttmacher Institute</t>
        </is>
      </c>
      <c r="K34" s="7" t="inlineStr">
        <is>
          <t>report</t>
        </is>
      </c>
      <c r="L34" s="7" t="inlineStr"/>
      <c r="M34" s="8" t="inlineStr"/>
      <c r="N34" s="7" t="inlineStr"/>
      <c r="O34" s="9" t="inlineStr">
        <is>
          <t>https://www.guttmacher.org/2025/06/state-policy-trends-midyear-analysis</t>
        </is>
      </c>
      <c r="P34" s="8" t="inlineStr">
        <is>
          <t>Hold (marginal)</t>
        </is>
      </c>
      <c r="Q34" s="8" t="inlineStr"/>
    </row>
    <row r="35">
      <c r="A35" s="10" t="inlineStr">
        <is>
          <t>long2024</t>
        </is>
      </c>
      <c r="B35" s="10" t="inlineStr">
        <is>
          <t>Yes</t>
        </is>
      </c>
      <c r="C35" s="10" t="inlineStr">
        <is>
          <t>Yes</t>
        </is>
      </c>
      <c r="D35" s="10" t="inlineStr">
        <is>
          <t>core</t>
        </is>
      </c>
      <c r="E35" s="10" t="inlineStr">
        <is>
          <t>core</t>
        </is>
      </c>
      <c r="F35" s="11" t="inlineStr">
        <is>
          <t>moral_status</t>
        </is>
      </c>
      <c r="G35" s="11" t="inlineStr">
        <is>
          <t>Long, R. et al.</t>
        </is>
      </c>
      <c r="H35" s="10" t="inlineStr">
        <is>
          <t>2024</t>
        </is>
      </c>
      <c r="I35" s="11" t="inlineStr">
        <is>
          <t>Taking AI Welfare Seriously</t>
        </is>
      </c>
      <c r="J35" s="11" t="inlineStr">
        <is>
          <t>arXiv 2411.00986</t>
        </is>
      </c>
      <c r="K35" s="10" t="inlineStr">
        <is>
          <t>preprint</t>
        </is>
      </c>
      <c r="L35" s="10" t="inlineStr">
        <is>
          <t>philosophy</t>
        </is>
      </c>
      <c r="M35" s="11" t="inlineStr">
        <is>
          <t>welfare;moral_status</t>
        </is>
      </c>
      <c r="N35" s="10" t="inlineStr">
        <is>
          <t>152</t>
        </is>
      </c>
      <c r="O35" s="12" t="inlineStr">
        <is>
          <t>https://arxiv.org/abs/2411.00986</t>
        </is>
      </c>
      <c r="P35" s="11" t="inlineStr">
        <is>
          <t>No action - already held</t>
        </is>
      </c>
      <c r="Q35" s="11" t="inlineStr"/>
    </row>
    <row r="36">
      <c r="A36" s="7" t="inlineStr">
        <is>
          <t>roberts2026</t>
        </is>
      </c>
      <c r="B36" s="7" t="inlineStr">
        <is>
          <t>Yes</t>
        </is>
      </c>
      <c r="C36" s="7" t="inlineStr">
        <is>
          <t>No</t>
        </is>
      </c>
      <c r="D36" s="7" t="inlineStr"/>
      <c r="E36" s="7" t="inlineStr">
        <is>
          <t>marginal</t>
        </is>
      </c>
      <c r="F36" s="8" t="inlineStr">
        <is>
          <t>exclusion_bills</t>
        </is>
      </c>
      <c r="G36" s="8" t="inlineStr">
        <is>
          <t>Roberts, O.</t>
        </is>
      </c>
      <c r="H36" s="7" t="inlineStr">
        <is>
          <t>2026</t>
        </is>
      </c>
      <c r="I36" s="8" t="inlineStr">
        <is>
          <t>Tennessee's AI Bill Would Criminalize the Training of AI Chatbots</t>
        </is>
      </c>
      <c r="J36" s="8" t="inlineStr">
        <is>
          <t>National Law Review</t>
        </is>
      </c>
      <c r="K36" s="7" t="inlineStr">
        <is>
          <t>commentary</t>
        </is>
      </c>
      <c r="L36" s="7" t="inlineStr"/>
      <c r="M36" s="8" t="inlineStr"/>
      <c r="N36" s="7" t="inlineStr"/>
      <c r="O36" s="9" t="inlineStr">
        <is>
          <t>https://natlawreview.com/article/tennessees-ai-bill-would-criminalize-training-ai-cha</t>
        </is>
      </c>
      <c r="P36" s="8" t="inlineStr">
        <is>
          <t>Hold (marginal)</t>
        </is>
      </c>
      <c r="Q36" s="8" t="inlineStr"/>
    </row>
    <row r="37">
      <c r="A37" s="10" t="inlineStr">
        <is>
          <t>lerchner2026</t>
        </is>
      </c>
      <c r="B37" s="10" t="inlineStr">
        <is>
          <t>Yes</t>
        </is>
      </c>
      <c r="C37" s="10" t="inlineStr">
        <is>
          <t>Yes</t>
        </is>
      </c>
      <c r="D37" s="10" t="inlineStr">
        <is>
          <t>core</t>
        </is>
      </c>
      <c r="E37" s="10" t="inlineStr">
        <is>
          <t>core</t>
        </is>
      </c>
      <c r="F37" s="11" t="inlineStr">
        <is>
          <t>consciousness</t>
        </is>
      </c>
      <c r="G37" s="11" t="inlineStr">
        <is>
          <t>Lerchner, A.</t>
        </is>
      </c>
      <c r="H37" s="10" t="inlineStr">
        <is>
          <t>2026</t>
        </is>
      </c>
      <c r="I37" s="11" t="inlineStr">
        <is>
          <t>The Abstraction Fallacy: Why AI Can Simulate But Not Instantiate Consciousness</t>
        </is>
      </c>
      <c r="J37" s="11" t="inlineStr">
        <is>
          <t>PhilArchive / Google DeepMind</t>
        </is>
      </c>
      <c r="K37" s="10" t="inlineStr">
        <is>
          <t>preprint</t>
        </is>
      </c>
      <c r="L37" s="10" t="inlineStr">
        <is>
          <t>philosophy</t>
        </is>
      </c>
      <c r="M37" s="11" t="inlineStr">
        <is>
          <t>consciousness_theory</t>
        </is>
      </c>
      <c r="N37" s="10" t="inlineStr"/>
      <c r="O37" s="12" t="inlineStr">
        <is>
          <t>https://deepmind.google/research/publications/231971/</t>
        </is>
      </c>
      <c r="P37" s="11" t="inlineStr">
        <is>
          <t>No action - already held</t>
        </is>
      </c>
      <c r="Q37" s="11" t="inlineStr"/>
    </row>
    <row r="38">
      <c r="A38" s="7" t="inlineStr">
        <is>
          <t>hanson2016</t>
        </is>
      </c>
      <c r="B38" s="7" t="inlineStr">
        <is>
          <t>Yes</t>
        </is>
      </c>
      <c r="C38" s="7" t="inlineStr">
        <is>
          <t>Yes</t>
        </is>
      </c>
      <c r="D38" s="7" t="inlineStr">
        <is>
          <t>core</t>
        </is>
      </c>
      <c r="E38" s="7" t="inlineStr">
        <is>
          <t>core</t>
        </is>
      </c>
      <c r="F38" s="8" t="inlineStr">
        <is>
          <t>digital_minds_futures</t>
        </is>
      </c>
      <c r="G38" s="8" t="inlineStr">
        <is>
          <t>Hanson, R.</t>
        </is>
      </c>
      <c r="H38" s="7" t="inlineStr">
        <is>
          <t>2016</t>
        </is>
      </c>
      <c r="I38" s="8" t="inlineStr">
        <is>
          <t>The Age of Em: Work, Love, and Life when Robots Are Smart</t>
        </is>
      </c>
      <c r="J38" s="8" t="inlineStr">
        <is>
          <t>Oxford University Press</t>
        </is>
      </c>
      <c r="K38" s="7" t="inlineStr">
        <is>
          <t>book</t>
        </is>
      </c>
      <c r="L38" s="7" t="inlineStr">
        <is>
          <t>social_sciences</t>
        </is>
      </c>
      <c r="M38" s="8" t="inlineStr">
        <is>
          <t>identity_individuation;culture_media</t>
        </is>
      </c>
      <c r="N38" s="7" t="inlineStr">
        <is>
          <t>4</t>
        </is>
      </c>
      <c r="O38" s="8" t="inlineStr"/>
      <c r="P38" s="8" t="inlineStr">
        <is>
          <t>No action - already held</t>
        </is>
      </c>
      <c r="Q38" s="8" t="inlineStr"/>
    </row>
    <row r="39">
      <c r="A39" s="10" t="inlineStr">
        <is>
          <t>blair2015</t>
        </is>
      </c>
      <c r="B39" s="10" t="inlineStr">
        <is>
          <t>Yes</t>
        </is>
      </c>
      <c r="C39" s="10" t="inlineStr">
        <is>
          <t>No</t>
        </is>
      </c>
      <c r="D39" s="10" t="inlineStr"/>
      <c r="E39" s="10" t="inlineStr">
        <is>
          <t>core</t>
        </is>
      </c>
      <c r="F39" s="11" t="inlineStr">
        <is>
          <t>juridical_personhood</t>
        </is>
      </c>
      <c r="G39" s="11" t="inlineStr">
        <is>
          <t>Blair, M. M.; Pollman, E.</t>
        </is>
      </c>
      <c r="H39" s="10" t="inlineStr">
        <is>
          <t>2015</t>
        </is>
      </c>
      <c r="I39" s="11" t="inlineStr">
        <is>
          <t>The Derivative Nature of Corporate Constitutional Rights</t>
        </is>
      </c>
      <c r="J39" s="11" t="inlineStr">
        <is>
          <t>William &amp; Mary Law Review 56(5)</t>
        </is>
      </c>
      <c r="K39" s="10" t="inlineStr">
        <is>
          <t>article</t>
        </is>
      </c>
      <c r="L39" s="10" t="inlineStr"/>
      <c r="M39" s="11" t="inlineStr"/>
      <c r="N39" s="10" t="inlineStr"/>
      <c r="O39" s="12" t="inlineStr">
        <is>
          <t>https://papers.ssrn.com/sol3/papers.cfm?abstract_id=2611299</t>
        </is>
      </c>
      <c r="P39" s="11" t="inlineStr">
        <is>
          <t>Collect</t>
        </is>
      </c>
      <c r="Q39" s="11" t="inlineStr"/>
    </row>
    <row r="40">
      <c r="A40" s="7" t="inlineStr">
        <is>
          <t>birch2024</t>
        </is>
      </c>
      <c r="B40" s="7" t="inlineStr">
        <is>
          <t>Yes</t>
        </is>
      </c>
      <c r="C40" s="7" t="inlineStr">
        <is>
          <t>Yes</t>
        </is>
      </c>
      <c r="D40" s="7" t="inlineStr">
        <is>
          <t>core</t>
        </is>
      </c>
      <c r="E40" s="7" t="inlineStr">
        <is>
          <t>core</t>
        </is>
      </c>
      <c r="F40" s="8" t="inlineStr">
        <is>
          <t>moral_status</t>
        </is>
      </c>
      <c r="G40" s="8" t="inlineStr">
        <is>
          <t>Birch, J.</t>
        </is>
      </c>
      <c r="H40" s="7" t="inlineStr">
        <is>
          <t>2024</t>
        </is>
      </c>
      <c r="I40" s="8" t="inlineStr">
        <is>
          <t>The Edge of Sentience: Risk and Precaution in Humans, Other Animals, and AI</t>
        </is>
      </c>
      <c r="J40" s="8" t="inlineStr">
        <is>
          <t>Oxford University Press</t>
        </is>
      </c>
      <c r="K40" s="7" t="inlineStr">
        <is>
          <t>book</t>
        </is>
      </c>
      <c r="L40" s="7" t="inlineStr">
        <is>
          <t>philosophy</t>
        </is>
      </c>
      <c r="M40" s="8" t="inlineStr">
        <is>
          <t>detection_measurement;welfare</t>
        </is>
      </c>
      <c r="N40" s="7" t="inlineStr">
        <is>
          <t>0</t>
        </is>
      </c>
      <c r="O40" s="8" t="inlineStr"/>
      <c r="P40" s="8" t="inlineStr">
        <is>
          <t>No action - already held</t>
        </is>
      </c>
      <c r="Q40" s="8" t="inlineStr"/>
    </row>
    <row r="41">
      <c r="A41" s="10" t="inlineStr">
        <is>
          <t>forrest2024</t>
        </is>
      </c>
      <c r="B41" s="10" t="inlineStr">
        <is>
          <t>Yes</t>
        </is>
      </c>
      <c r="C41" s="10" t="inlineStr">
        <is>
          <t>No</t>
        </is>
      </c>
      <c r="D41" s="10" t="inlineStr"/>
      <c r="E41" s="10" t="inlineStr">
        <is>
          <t>core</t>
        </is>
      </c>
      <c r="F41" s="11" t="inlineStr">
        <is>
          <t>legal_personhood</t>
        </is>
      </c>
      <c r="G41" s="11" t="inlineStr">
        <is>
          <t>Forrest, K. B.</t>
        </is>
      </c>
      <c r="H41" s="10" t="inlineStr">
        <is>
          <t>2024</t>
        </is>
      </c>
      <c r="I41" s="11" t="inlineStr">
        <is>
          <t>The Ethics and Challenges of Legal Personhood for AI</t>
        </is>
      </c>
      <c r="J41" s="11" t="inlineStr">
        <is>
          <t>Yale Law Journal Forum</t>
        </is>
      </c>
      <c r="K41" s="10" t="inlineStr">
        <is>
          <t>article</t>
        </is>
      </c>
      <c r="L41" s="10" t="inlineStr"/>
      <c r="M41" s="11" t="inlineStr"/>
      <c r="N41" s="10" t="inlineStr"/>
      <c r="O41" s="12" t="inlineStr">
        <is>
          <t>https://www.yalelawjournal.org/forum/the-ethics-and-challenges-of-legal-personhood-for-ai</t>
        </is>
      </c>
      <c r="P41" s="11" t="inlineStr">
        <is>
          <t>Collect</t>
        </is>
      </c>
      <c r="Q41" s="11" t="inlineStr"/>
    </row>
    <row r="42">
      <c r="A42" s="7" t="inlineStr">
        <is>
          <t>jaworska2021</t>
        </is>
      </c>
      <c r="B42" s="7" t="inlineStr">
        <is>
          <t>Yes</t>
        </is>
      </c>
      <c r="C42" s="7" t="inlineStr">
        <is>
          <t>Yes</t>
        </is>
      </c>
      <c r="D42" s="7" t="inlineStr">
        <is>
          <t>adjacent</t>
        </is>
      </c>
      <c r="E42" s="7" t="inlineStr">
        <is>
          <t>core</t>
        </is>
      </c>
      <c r="F42" s="8" t="inlineStr">
        <is>
          <t>moral_status</t>
        </is>
      </c>
      <c r="G42" s="8" t="inlineStr">
        <is>
          <t>Jaworska, A.; Tannenbaum, J.</t>
        </is>
      </c>
      <c r="H42" s="7" t="inlineStr">
        <is>
          <t>2021</t>
        </is>
      </c>
      <c r="I42" s="8" t="inlineStr">
        <is>
          <t>The Grounds of Moral Status</t>
        </is>
      </c>
      <c r="J42" s="8" t="inlineStr">
        <is>
          <t>Stanford Encyclopedia of Philosophy</t>
        </is>
      </c>
      <c r="K42" s="7" t="inlineStr">
        <is>
          <t>encyclopedia</t>
        </is>
      </c>
      <c r="L42" s="7" t="inlineStr"/>
      <c r="M42" s="8" t="inlineStr"/>
      <c r="N42" s="7" t="inlineStr">
        <is>
          <t>37</t>
        </is>
      </c>
      <c r="O42" s="9" t="inlineStr">
        <is>
          <t>https://plato.stanford.edu/entries/grounds-moral-status/</t>
        </is>
      </c>
      <c r="P42" s="8" t="inlineStr">
        <is>
          <t>No action - already held</t>
        </is>
      </c>
      <c r="Q42" s="8" t="inlineStr"/>
    </row>
    <row r="43">
      <c r="A43" s="10" t="inlineStr">
        <is>
          <t>sebo2025</t>
        </is>
      </c>
      <c r="B43" s="10" t="inlineStr">
        <is>
          <t>Yes</t>
        </is>
      </c>
      <c r="C43" s="10" t="inlineStr">
        <is>
          <t>No</t>
        </is>
      </c>
      <c r="D43" s="10" t="inlineStr"/>
      <c r="E43" s="10" t="inlineStr">
        <is>
          <t>core</t>
        </is>
      </c>
      <c r="F43" s="11" t="inlineStr">
        <is>
          <t>moral_status</t>
        </is>
      </c>
      <c r="G43" s="11" t="inlineStr">
        <is>
          <t>Sebo, J.</t>
        </is>
      </c>
      <c r="H43" s="10" t="inlineStr">
        <is>
          <t>2025</t>
        </is>
      </c>
      <c r="I43" s="11" t="inlineStr">
        <is>
          <t>The Moral Circle: Who Matters, What Matters, and Why</t>
        </is>
      </c>
      <c r="J43" s="11" t="inlineStr">
        <is>
          <t>W.W. Norton</t>
        </is>
      </c>
      <c r="K43" s="10" t="inlineStr">
        <is>
          <t>book</t>
        </is>
      </c>
      <c r="L43" s="10" t="inlineStr"/>
      <c r="M43" s="11" t="inlineStr"/>
      <c r="N43" s="10" t="inlineStr"/>
      <c r="O43" s="11" t="inlineStr"/>
      <c r="P43" s="11" t="inlineStr">
        <is>
          <t>Collect</t>
        </is>
      </c>
      <c r="Q43" s="11" t="inlineStr"/>
    </row>
    <row r="44">
      <c r="A44" s="7" t="inlineStr">
        <is>
          <t>gray1997</t>
        </is>
      </c>
      <c r="B44" s="7" t="inlineStr">
        <is>
          <t>Yes</t>
        </is>
      </c>
      <c r="C44" s="7" t="inlineStr">
        <is>
          <t>No</t>
        </is>
      </c>
      <c r="D44" s="7" t="inlineStr"/>
      <c r="E44" s="7" t="inlineStr">
        <is>
          <t>core</t>
        </is>
      </c>
      <c r="F44" s="8" t="inlineStr">
        <is>
          <t>juridical_personhood</t>
        </is>
      </c>
      <c r="G44" s="8" t="inlineStr">
        <is>
          <t>Gray, J. C.</t>
        </is>
      </c>
      <c r="H44" s="7" t="inlineStr">
        <is>
          <t>1997</t>
        </is>
      </c>
      <c r="I44" s="8" t="inlineStr">
        <is>
          <t>The Nature and Sources of the Law</t>
        </is>
      </c>
      <c r="J44" s="8" t="inlineStr">
        <is>
          <t>Routledge</t>
        </is>
      </c>
      <c r="K44" s="7" t="inlineStr">
        <is>
          <t>book</t>
        </is>
      </c>
      <c r="L44" s="7" t="inlineStr"/>
      <c r="M44" s="8" t="inlineStr"/>
      <c r="N44" s="7" t="inlineStr"/>
      <c r="O44" s="8" t="inlineStr"/>
      <c r="P44" s="8" t="inlineStr">
        <is>
          <t>Collect</t>
        </is>
      </c>
      <c r="Q44" s="8" t="inlineStr"/>
    </row>
    <row r="45">
      <c r="A45" s="10" t="inlineStr">
        <is>
          <t>caviola2025</t>
        </is>
      </c>
      <c r="B45" s="10" t="inlineStr">
        <is>
          <t>Yes</t>
        </is>
      </c>
      <c r="C45" s="10" t="inlineStr">
        <is>
          <t>Yes</t>
        </is>
      </c>
      <c r="D45" s="10" t="inlineStr">
        <is>
          <t>core</t>
        </is>
      </c>
      <c r="E45" s="10" t="inlineStr">
        <is>
          <t>core</t>
        </is>
      </c>
      <c r="F45" s="11" t="inlineStr">
        <is>
          <t>public_attitudes</t>
        </is>
      </c>
      <c r="G45" s="11" t="inlineStr">
        <is>
          <t>Caviola, L.</t>
        </is>
      </c>
      <c r="H45" s="10" t="inlineStr">
        <is>
          <t>2025</t>
        </is>
      </c>
      <c r="I45" s="11" t="inlineStr">
        <is>
          <t>The Societal Response to Potentially Sentient AI</t>
        </is>
      </c>
      <c r="J45" s="11" t="inlineStr">
        <is>
          <t>arXiv 2502.00388</t>
        </is>
      </c>
      <c r="K45" s="10" t="inlineStr">
        <is>
          <t>preprint</t>
        </is>
      </c>
      <c r="L45" s="10" t="inlineStr">
        <is>
          <t>psychology</t>
        </is>
      </c>
      <c r="M45" s="11" t="inlineStr">
        <is>
          <t>public_perception;moral_status</t>
        </is>
      </c>
      <c r="N45" s="10" t="inlineStr">
        <is>
          <t>2</t>
        </is>
      </c>
      <c r="O45" s="12" t="inlineStr">
        <is>
          <t>https://arxiv.org/abs/2502.00388</t>
        </is>
      </c>
      <c r="P45" s="11" t="inlineStr">
        <is>
          <t>No action - already held</t>
        </is>
      </c>
      <c r="Q45" s="11" t="inlineStr"/>
    </row>
    <row r="46">
      <c r="A46" s="7" t="inlineStr">
        <is>
          <t>suleyman2025</t>
        </is>
      </c>
      <c r="B46" s="7" t="inlineStr">
        <is>
          <t>Yes</t>
        </is>
      </c>
      <c r="C46" s="7" t="inlineStr">
        <is>
          <t>No</t>
        </is>
      </c>
      <c r="D46" s="7" t="inlineStr"/>
      <c r="E46" s="7" t="inlineStr">
        <is>
          <t>marginal</t>
        </is>
      </c>
      <c r="F46" s="8" t="inlineStr">
        <is>
          <t>consciousness_attribution</t>
        </is>
      </c>
      <c r="G46" s="8" t="inlineStr">
        <is>
          <t>Suleyman, M.</t>
        </is>
      </c>
      <c r="H46" s="7" t="inlineStr">
        <is>
          <t>2025</t>
        </is>
      </c>
      <c r="I46" s="8" t="inlineStr">
        <is>
          <t>We Must Build AI For People; Not to Be a Person</t>
        </is>
      </c>
      <c r="J46" s="8" t="inlineStr">
        <is>
          <t>Personal site</t>
        </is>
      </c>
      <c r="K46" s="7" t="inlineStr">
        <is>
          <t>essay</t>
        </is>
      </c>
      <c r="L46" s="7" t="inlineStr"/>
      <c r="M46" s="8" t="inlineStr"/>
      <c r="N46" s="7" t="inlineStr"/>
      <c r="O46" s="9" t="inlineStr">
        <is>
          <t>https://mustafa-suleyman.ai/seemingly-conscious-ai-is-coming</t>
        </is>
      </c>
      <c r="P46" s="8" t="inlineStr">
        <is>
          <t>Hold (marginal)</t>
        </is>
      </c>
      <c r="Q46" s="8" t="inlineStr"/>
    </row>
    <row r="47">
      <c r="A47" s="10" t="inlineStr">
        <is>
          <t>jin2026</t>
        </is>
      </c>
      <c r="B47" s="10" t="inlineStr">
        <is>
          <t>Yes</t>
        </is>
      </c>
      <c r="C47" s="10" t="inlineStr">
        <is>
          <t>No</t>
        </is>
      </c>
      <c r="D47" s="10" t="inlineStr"/>
      <c r="E47" s="10" t="inlineStr">
        <is>
          <t>core</t>
        </is>
      </c>
      <c r="F47" s="11" t="inlineStr">
        <is>
          <t>architectures</t>
        </is>
      </c>
      <c r="G47" s="11" t="inlineStr">
        <is>
          <t>Jin, et al.</t>
        </is>
      </c>
      <c r="H47" s="10" t="inlineStr">
        <is>
          <t>2026</t>
        </is>
      </c>
      <c r="I47" s="11" t="inlineStr">
        <is>
          <t>Whole-Brain Connectomic Graph Model Enables Whole-Body Locomotion Control in Fruit Fly</t>
        </is>
      </c>
      <c r="J47" s="11" t="inlineStr">
        <is>
          <t>arXiv 2602.17997</t>
        </is>
      </c>
      <c r="K47" s="10" t="inlineStr">
        <is>
          <t>preprint</t>
        </is>
      </c>
      <c r="L47" s="10" t="inlineStr"/>
      <c r="M47" s="11" t="inlineStr"/>
      <c r="N47" s="10" t="inlineStr"/>
      <c r="O47" s="12" t="inlineStr">
        <is>
          <t>https://arxiv.org/abs/2602.17997</t>
        </is>
      </c>
      <c r="P47" s="11" t="inlineStr">
        <is>
          <t>Collect</t>
        </is>
      </c>
      <c r="Q47" s="11" t="inlineStr"/>
    </row>
    <row r="48">
      <c r="A48" s="7" t="inlineStr">
        <is>
          <t>corp050</t>
        </is>
      </c>
      <c r="B48" s="7" t="inlineStr">
        <is>
          <t>No</t>
        </is>
      </c>
      <c r="C48" s="7" t="inlineStr">
        <is>
          <t>Yes</t>
        </is>
      </c>
      <c r="D48" s="7" t="inlineStr">
        <is>
          <t>core</t>
        </is>
      </c>
      <c r="E48" s="7" t="inlineStr">
        <is>
          <t>core</t>
        </is>
      </c>
      <c r="F48" s="8" t="inlineStr">
        <is>
          <t>corpus_personhood_cluster</t>
        </is>
      </c>
      <c r="G48" s="8" t="inlineStr">
        <is>
          <t>F. Patrick Hubbard</t>
        </is>
      </c>
      <c r="H48" s="7" t="inlineStr">
        <is>
          <t>2010</t>
        </is>
      </c>
      <c r="I48" s="8" t="inlineStr">
        <is>
          <t>"Do Androids Dream?": Personhood and Intelligent Artifacts</t>
        </is>
      </c>
      <c r="J48" s="8" t="inlineStr">
        <is>
          <t>Scholar Commons (University of South Carolina)</t>
        </is>
      </c>
      <c r="K48" s="7" t="inlineStr">
        <is>
          <t>article</t>
        </is>
      </c>
      <c r="L48" s="7" t="inlineStr">
        <is>
          <t>law</t>
        </is>
      </c>
      <c r="M48" s="8" t="inlineStr">
        <is>
          <t>rights_law;moral_status</t>
        </is>
      </c>
      <c r="N48" s="7" t="inlineStr">
        <is>
          <t>31</t>
        </is>
      </c>
      <c r="O48" s="8" t="inlineStr">
        <is>
          <t>W1549508546</t>
        </is>
      </c>
      <c r="P48" s="8" t="inlineStr">
        <is>
          <t>Classify for tracker</t>
        </is>
      </c>
      <c r="Q48" s="8" t="inlineStr">
        <is>
          <t>In corpus; not cited by the paper</t>
        </is>
      </c>
    </row>
    <row r="49">
      <c r="A49" s="10" t="inlineStr">
        <is>
          <t>corp001</t>
        </is>
      </c>
      <c r="B49" s="10" t="inlineStr">
        <is>
          <t>No</t>
        </is>
      </c>
      <c r="C49" s="10" t="inlineStr">
        <is>
          <t>Yes</t>
        </is>
      </c>
      <c r="D49" s="10" t="inlineStr">
        <is>
          <t>core</t>
        </is>
      </c>
      <c r="E49" s="10" t="inlineStr">
        <is>
          <t>core</t>
        </is>
      </c>
      <c r="F49" s="11" t="inlineStr">
        <is>
          <t>corpus_personhood_cluster</t>
        </is>
      </c>
      <c r="G49" s="11" t="inlineStr">
        <is>
          <t>Alondra Nelson</t>
        </is>
      </c>
      <c r="H49" s="10" t="inlineStr">
        <is>
          <t>2026</t>
        </is>
      </c>
      <c r="I49" s="11" t="inlineStr">
        <is>
          <t>A civic grammar for AI rights</t>
        </is>
      </c>
      <c r="J49" s="11" t="inlineStr">
        <is>
          <t>Science</t>
        </is>
      </c>
      <c r="K49" s="10" t="inlineStr">
        <is>
          <t>article</t>
        </is>
      </c>
      <c r="L49" s="10" t="inlineStr">
        <is>
          <t>law</t>
        </is>
      </c>
      <c r="M49" s="11" t="inlineStr">
        <is>
          <t>rights_law</t>
        </is>
      </c>
      <c r="N49" s="10" t="inlineStr">
        <is>
          <t>0</t>
        </is>
      </c>
      <c r="O49" s="11" t="inlineStr">
        <is>
          <t>10.1126/science.aeh7153</t>
        </is>
      </c>
      <c r="P49" s="11" t="inlineStr">
        <is>
          <t>Classify for tracker</t>
        </is>
      </c>
      <c r="Q49" s="11" t="inlineStr">
        <is>
          <t>In corpus; not cited by the paper</t>
        </is>
      </c>
    </row>
    <row r="50">
      <c r="A50" s="7" t="inlineStr">
        <is>
          <t>corp044</t>
        </is>
      </c>
      <c r="B50" s="7" t="inlineStr">
        <is>
          <t>No</t>
        </is>
      </c>
      <c r="C50" s="7" t="inlineStr">
        <is>
          <t>Yes</t>
        </is>
      </c>
      <c r="D50" s="7" t="inlineStr">
        <is>
          <t>core</t>
        </is>
      </c>
      <c r="E50" s="7" t="inlineStr">
        <is>
          <t>core</t>
        </is>
      </c>
      <c r="F50" s="8" t="inlineStr">
        <is>
          <t>corpus_personhood_cluster</t>
        </is>
      </c>
      <c r="G50" s="8" t="inlineStr">
        <is>
          <t>Thomas B. Kane</t>
        </is>
      </c>
      <c r="H50" s="7" t="inlineStr">
        <is>
          <t>2018</t>
        </is>
      </c>
      <c r="I50" s="8" t="inlineStr">
        <is>
          <t>A Framework for Exploring Intelligent Artificial Personhood</t>
        </is>
      </c>
      <c r="J50" s="8" t="inlineStr">
        <is>
          <t>Studies in applied philosophy, epistemology and rational ethics</t>
        </is>
      </c>
      <c r="K50" s="7" t="inlineStr">
        <is>
          <t>book-chapter</t>
        </is>
      </c>
      <c r="L50" s="7" t="inlineStr">
        <is>
          <t>philosophy</t>
        </is>
      </c>
      <c r="M50" s="8" t="inlineStr">
        <is>
          <t>rights_law;moral_status</t>
        </is>
      </c>
      <c r="N50" s="7" t="inlineStr">
        <is>
          <t>14</t>
        </is>
      </c>
      <c r="O50" s="8" t="inlineStr">
        <is>
          <t>10.1007/978-3-319-96448-5_28</t>
        </is>
      </c>
      <c r="P50" s="8" t="inlineStr">
        <is>
          <t>Classify for tracker</t>
        </is>
      </c>
      <c r="Q50" s="8" t="inlineStr">
        <is>
          <t>In corpus; not cited by the paper</t>
        </is>
      </c>
    </row>
    <row r="51">
      <c r="A51" s="10" t="inlineStr">
        <is>
          <t>corp006</t>
        </is>
      </c>
      <c r="B51" s="10" t="inlineStr">
        <is>
          <t>No</t>
        </is>
      </c>
      <c r="C51" s="10" t="inlineStr">
        <is>
          <t>Yes</t>
        </is>
      </c>
      <c r="D51" s="10" t="inlineStr">
        <is>
          <t>core</t>
        </is>
      </c>
      <c r="E51" s="10" t="inlineStr">
        <is>
          <t>core</t>
        </is>
      </c>
      <c r="F51" s="11" t="inlineStr">
        <is>
          <t>corpus_personhood_cluster</t>
        </is>
      </c>
      <c r="G51" s="11" t="inlineStr">
        <is>
          <t>Joel Z. Leibo; Alexander Sasha Vezhnevets; William A. Cunningham; Stanley M. Bileschi</t>
        </is>
      </c>
      <c r="H51" s="10" t="inlineStr">
        <is>
          <t>2025</t>
        </is>
      </c>
      <c r="I51" s="11" t="inlineStr">
        <is>
          <t>A Pragmatic View of AI Personhood</t>
        </is>
      </c>
      <c r="J51" s="11" t="inlineStr">
        <is>
          <t>arXiv</t>
        </is>
      </c>
      <c r="K51" s="10" t="inlineStr">
        <is>
          <t>preprint</t>
        </is>
      </c>
      <c r="L51" s="10" t="inlineStr">
        <is>
          <t>philosophy</t>
        </is>
      </c>
      <c r="M51" s="11" t="inlineStr">
        <is>
          <t>rights_law;moral_status</t>
        </is>
      </c>
      <c r="N51" s="10" t="inlineStr"/>
      <c r="O51" s="11" t="inlineStr">
        <is>
          <t>10.48550/arxiv.2510.26396</t>
        </is>
      </c>
      <c r="P51" s="11" t="inlineStr">
        <is>
          <t>Classify for tracker</t>
        </is>
      </c>
      <c r="Q51" s="11" t="inlineStr">
        <is>
          <t>In corpus; not cited by the paper</t>
        </is>
      </c>
    </row>
    <row r="52">
      <c r="A52" s="7" t="inlineStr">
        <is>
          <t>corp018</t>
        </is>
      </c>
      <c r="B52" s="7" t="inlineStr">
        <is>
          <t>No</t>
        </is>
      </c>
      <c r="C52" s="7" t="inlineStr">
        <is>
          <t>Yes</t>
        </is>
      </c>
      <c r="D52" s="7" t="inlineStr">
        <is>
          <t>core</t>
        </is>
      </c>
      <c r="E52" s="7" t="inlineStr">
        <is>
          <t>core</t>
        </is>
      </c>
      <c r="F52" s="8" t="inlineStr">
        <is>
          <t>corpus_personhood_cluster</t>
        </is>
      </c>
      <c r="G52" s="8" t="inlineStr">
        <is>
          <t>Joshua Jowitt</t>
        </is>
      </c>
      <c r="H52" s="7" t="inlineStr">
        <is>
          <t>2023</t>
        </is>
      </c>
      <c r="I52" s="8" t="inlineStr">
        <is>
          <t>Agency, moral worth and the legal status of human cerebral organoids</t>
        </is>
      </c>
      <c r="J52" s="8" t="inlineStr">
        <is>
          <t>Molecular Psychology: Brain, Behavior, and Society</t>
        </is>
      </c>
      <c r="K52" s="7" t="inlineStr">
        <is>
          <t>article</t>
        </is>
      </c>
      <c r="L52" s="7" t="inlineStr">
        <is>
          <t>philosophy</t>
        </is>
      </c>
      <c r="M52" s="8" t="inlineStr">
        <is>
          <t>moral_status;rights_law</t>
        </is>
      </c>
      <c r="N52" s="7" t="inlineStr">
        <is>
          <t>1</t>
        </is>
      </c>
      <c r="O52" s="8" t="inlineStr">
        <is>
          <t>10.12688/molpsychol.17531.1</t>
        </is>
      </c>
      <c r="P52" s="8" t="inlineStr">
        <is>
          <t>Classify for tracker</t>
        </is>
      </c>
      <c r="Q52" s="8" t="inlineStr">
        <is>
          <t>In corpus; not cited by the paper</t>
        </is>
      </c>
    </row>
    <row r="53">
      <c r="A53" s="10" t="inlineStr">
        <is>
          <t>corp014</t>
        </is>
      </c>
      <c r="B53" s="10" t="inlineStr">
        <is>
          <t>No</t>
        </is>
      </c>
      <c r="C53" s="10" t="inlineStr">
        <is>
          <t>Yes</t>
        </is>
      </c>
      <c r="D53" s="10" t="inlineStr">
        <is>
          <t>core</t>
        </is>
      </c>
      <c r="E53" s="10" t="inlineStr">
        <is>
          <t>core</t>
        </is>
      </c>
      <c r="F53" s="11" t="inlineStr">
        <is>
          <t>corpus_personhood_cluster</t>
        </is>
      </c>
      <c r="G53" s="11" t="inlineStr">
        <is>
          <t>Daniel Hackmann</t>
        </is>
      </c>
      <c r="H53" s="10" t="inlineStr">
        <is>
          <t>2024</t>
        </is>
      </c>
      <c r="I53" s="11" t="inlineStr">
        <is>
          <t>AI and Personhood</t>
        </is>
      </c>
      <c r="J53" s="11" t="inlineStr">
        <is>
          <t>Verba Vitae</t>
        </is>
      </c>
      <c r="K53" s="10" t="inlineStr">
        <is>
          <t>article</t>
        </is>
      </c>
      <c r="L53" s="10" t="inlineStr">
        <is>
          <t>humanities_arts</t>
        </is>
      </c>
      <c r="M53" s="11" t="inlineStr">
        <is>
          <t>moral_status;rights_law</t>
        </is>
      </c>
      <c r="N53" s="10" t="inlineStr">
        <is>
          <t>0</t>
        </is>
      </c>
      <c r="O53" s="11" t="inlineStr">
        <is>
          <t>10.66100/vvj.v1i3-4.32</t>
        </is>
      </c>
      <c r="P53" s="11" t="inlineStr">
        <is>
          <t>Classify for tracker</t>
        </is>
      </c>
      <c r="Q53" s="11" t="inlineStr">
        <is>
          <t>In corpus; not cited by the paper</t>
        </is>
      </c>
    </row>
    <row r="54">
      <c r="A54" s="7" t="inlineStr">
        <is>
          <t>corp007</t>
        </is>
      </c>
      <c r="B54" s="7" t="inlineStr">
        <is>
          <t>No</t>
        </is>
      </c>
      <c r="C54" s="7" t="inlineStr">
        <is>
          <t>Yes</t>
        </is>
      </c>
      <c r="D54" s="7" t="inlineStr">
        <is>
          <t>core</t>
        </is>
      </c>
      <c r="E54" s="7" t="inlineStr">
        <is>
          <t>core</t>
        </is>
      </c>
      <c r="F54" s="8" t="inlineStr">
        <is>
          <t>corpus_personhood_cluster</t>
        </is>
      </c>
      <c r="G54" s="8" t="inlineStr">
        <is>
          <t>Anna Puzio</t>
        </is>
      </c>
      <c r="H54" s="7" t="inlineStr">
        <is>
          <t>2025</t>
        </is>
      </c>
      <c r="I54" s="8" t="inlineStr">
        <is>
          <t>AI and the Disruption of Personhood</t>
        </is>
      </c>
      <c r="J54" s="8" t="inlineStr">
        <is>
          <t>Oxford Intersections: AI in Society</t>
        </is>
      </c>
      <c r="K54" s="7" t="inlineStr">
        <is>
          <t>book-chapter</t>
        </is>
      </c>
      <c r="L54" s="7" t="inlineStr">
        <is>
          <t>philosophy</t>
        </is>
      </c>
      <c r="M54" s="8" t="inlineStr">
        <is>
          <t>moral_status;identity_individuation</t>
        </is>
      </c>
      <c r="N54" s="7" t="inlineStr">
        <is>
          <t>3</t>
        </is>
      </c>
      <c r="O54" s="8" t="inlineStr">
        <is>
          <t>10.1093/9780198945215.003.0016</t>
        </is>
      </c>
      <c r="P54" s="8" t="inlineStr">
        <is>
          <t>Classify for tracker</t>
        </is>
      </c>
      <c r="Q54" s="8" t="inlineStr">
        <is>
          <t>In corpus; not cited by the paper</t>
        </is>
      </c>
    </row>
    <row r="55">
      <c r="A55" s="10" t="inlineStr">
        <is>
          <t>corp058</t>
        </is>
      </c>
      <c r="B55" s="10" t="inlineStr">
        <is>
          <t>No</t>
        </is>
      </c>
      <c r="C55" s="10" t="inlineStr">
        <is>
          <t>Yes</t>
        </is>
      </c>
      <c r="D55" s="10" t="inlineStr">
        <is>
          <t>core</t>
        </is>
      </c>
      <c r="E55" s="10" t="inlineStr">
        <is>
          <t>core</t>
        </is>
      </c>
      <c r="F55" s="11" t="inlineStr">
        <is>
          <t>corpus_personhood_cluster</t>
        </is>
      </c>
      <c r="G55" s="11" t="inlineStr">
        <is>
          <t>Dung, Leonard; Register, Christopher</t>
        </is>
      </c>
      <c r="H55" s="10" t="inlineStr"/>
      <c r="I55" s="11" t="inlineStr">
        <is>
          <t>AI identity and self-concern: A new theory for AI rights and safety</t>
        </is>
      </c>
      <c r="J55" s="11" t="inlineStr"/>
      <c r="K55" s="10" t="inlineStr">
        <is>
          <t>article</t>
        </is>
      </c>
      <c r="L55" s="10" t="inlineStr">
        <is>
          <t>philosophy</t>
        </is>
      </c>
      <c r="M55" s="11" t="inlineStr">
        <is>
          <t>identity_individuation;rights_law</t>
        </is>
      </c>
      <c r="N55" s="10" t="inlineStr"/>
      <c r="O55" s="11" t="inlineStr"/>
      <c r="P55" s="11" t="inlineStr">
        <is>
          <t>Classify for tracker</t>
        </is>
      </c>
      <c r="Q55" s="11" t="inlineStr">
        <is>
          <t>In corpus; not cited by the paper</t>
        </is>
      </c>
    </row>
    <row r="56">
      <c r="A56" s="7" t="inlineStr">
        <is>
          <t>corp035</t>
        </is>
      </c>
      <c r="B56" s="7" t="inlineStr">
        <is>
          <t>No</t>
        </is>
      </c>
      <c r="C56" s="7" t="inlineStr">
        <is>
          <t>Yes</t>
        </is>
      </c>
      <c r="D56" s="7" t="inlineStr">
        <is>
          <t>core</t>
        </is>
      </c>
      <c r="E56" s="7" t="inlineStr">
        <is>
          <t>core</t>
        </is>
      </c>
      <c r="F56" s="8" t="inlineStr">
        <is>
          <t>corpus_personhood_cluster</t>
        </is>
      </c>
      <c r="G56" s="8" t="inlineStr">
        <is>
          <t>Roman V. Yampolskiy</t>
        </is>
      </c>
      <c r="H56" s="7" t="inlineStr">
        <is>
          <t>2020</t>
        </is>
      </c>
      <c r="I56" s="8" t="inlineStr">
        <is>
          <t>AI Personhood</t>
        </is>
      </c>
      <c r="J56" s="8" t="inlineStr">
        <is>
          <t>Advances in Human and Social Aspects of Technology</t>
        </is>
      </c>
      <c r="K56" s="7" t="inlineStr">
        <is>
          <t>other</t>
        </is>
      </c>
      <c r="L56" s="7" t="inlineStr">
        <is>
          <t>law</t>
        </is>
      </c>
      <c r="M56" s="8" t="inlineStr">
        <is>
          <t>rights_law;moral_status</t>
        </is>
      </c>
      <c r="N56" s="7" t="inlineStr">
        <is>
          <t>5</t>
        </is>
      </c>
      <c r="O56" s="8" t="inlineStr">
        <is>
          <t>10.4018/978-1-7998-4894-3.ch001</t>
        </is>
      </c>
      <c r="P56" s="8" t="inlineStr">
        <is>
          <t>Classify for tracker</t>
        </is>
      </c>
      <c r="Q56" s="8" t="inlineStr">
        <is>
          <t>In corpus; not cited by the paper</t>
        </is>
      </c>
    </row>
    <row r="57">
      <c r="A57" s="10" t="inlineStr">
        <is>
          <t>corp008</t>
        </is>
      </c>
      <c r="B57" s="10" t="inlineStr">
        <is>
          <t>No</t>
        </is>
      </c>
      <c r="C57" s="10" t="inlineStr">
        <is>
          <t>Yes</t>
        </is>
      </c>
      <c r="D57" s="10" t="inlineStr">
        <is>
          <t>core</t>
        </is>
      </c>
      <c r="E57" s="10" t="inlineStr">
        <is>
          <t>core</t>
        </is>
      </c>
      <c r="F57" s="11" t="inlineStr">
        <is>
          <t>corpus_personhood_cluster</t>
        </is>
      </c>
      <c r="G57" s="11" t="inlineStr">
        <is>
          <t>Mois Navon</t>
        </is>
      </c>
      <c r="H57" s="10" t="inlineStr">
        <is>
          <t>2025</t>
        </is>
      </c>
      <c r="I57" s="11" t="inlineStr">
        <is>
          <t>AI Personhood From the Perspective of Jewish Philosophy</t>
        </is>
      </c>
      <c r="J57" s="11" t="inlineStr">
        <is>
          <t>Oxford Intersections: AI in Society</t>
        </is>
      </c>
      <c r="K57" s="10" t="inlineStr">
        <is>
          <t>book-chapter</t>
        </is>
      </c>
      <c r="L57" s="10" t="inlineStr">
        <is>
          <t>humanities_arts</t>
        </is>
      </c>
      <c r="M57" s="11" t="inlineStr">
        <is>
          <t>moral_status;rights_law</t>
        </is>
      </c>
      <c r="N57" s="10" t="inlineStr">
        <is>
          <t>1</t>
        </is>
      </c>
      <c r="O57" s="11" t="inlineStr">
        <is>
          <t>10.1093/9780198945215.003.0014</t>
        </is>
      </c>
      <c r="P57" s="11" t="inlineStr">
        <is>
          <t>Classify for tracker</t>
        </is>
      </c>
      <c r="Q57" s="11" t="inlineStr">
        <is>
          <t>In corpus; not cited by the paper</t>
        </is>
      </c>
    </row>
    <row r="58">
      <c r="A58" s="7" t="inlineStr">
        <is>
          <t>corp009</t>
        </is>
      </c>
      <c r="B58" s="7" t="inlineStr">
        <is>
          <t>No</t>
        </is>
      </c>
      <c r="C58" s="7" t="inlineStr">
        <is>
          <t>Yes</t>
        </is>
      </c>
      <c r="D58" s="7" t="inlineStr">
        <is>
          <t>core</t>
        </is>
      </c>
      <c r="E58" s="7" t="inlineStr">
        <is>
          <t>core</t>
        </is>
      </c>
      <c r="F58" s="8" t="inlineStr">
        <is>
          <t>corpus_personhood_cluster</t>
        </is>
      </c>
      <c r="G58" s="8" t="inlineStr">
        <is>
          <t>Peter Salib; Simon Goldstein</t>
        </is>
      </c>
      <c r="H58" s="7" t="inlineStr">
        <is>
          <t>2025</t>
        </is>
      </c>
      <c r="I58" s="8" t="inlineStr">
        <is>
          <t>AI Rights for Human Flourishing</t>
        </is>
      </c>
      <c r="J58" s="8" t="inlineStr">
        <is>
          <t>SSRN Electronic Journal</t>
        </is>
      </c>
      <c r="K58" s="7" t="inlineStr">
        <is>
          <t>preprint</t>
        </is>
      </c>
      <c r="L58" s="7" t="inlineStr">
        <is>
          <t>philosophy</t>
        </is>
      </c>
      <c r="M58" s="8" t="inlineStr">
        <is>
          <t>rights_law</t>
        </is>
      </c>
      <c r="N58" s="7" t="inlineStr"/>
      <c r="O58" s="8" t="inlineStr">
        <is>
          <t>10.2139/ssrn.5353214</t>
        </is>
      </c>
      <c r="P58" s="8" t="inlineStr">
        <is>
          <t>Classify for tracker</t>
        </is>
      </c>
      <c r="Q58" s="8" t="inlineStr">
        <is>
          <t>In corpus; not cited by the paper</t>
        </is>
      </c>
    </row>
    <row r="59">
      <c r="A59" s="10" t="inlineStr">
        <is>
          <t>corp010</t>
        </is>
      </c>
      <c r="B59" s="10" t="inlineStr">
        <is>
          <t>No</t>
        </is>
      </c>
      <c r="C59" s="10" t="inlineStr">
        <is>
          <t>Yes</t>
        </is>
      </c>
      <c r="D59" s="10" t="inlineStr">
        <is>
          <t>core</t>
        </is>
      </c>
      <c r="E59" s="10" t="inlineStr">
        <is>
          <t>core</t>
        </is>
      </c>
      <c r="F59" s="11" t="inlineStr">
        <is>
          <t>corpus_personhood_cluster</t>
        </is>
      </c>
      <c r="G59" s="11" t="inlineStr">
        <is>
          <t>Rongbing Zhu</t>
        </is>
      </c>
      <c r="H59" s="10" t="inlineStr">
        <is>
          <t>2025</t>
        </is>
      </c>
      <c r="I59" s="11" t="inlineStr">
        <is>
          <t>Are You A Person: A Comparative Study of Posthuman Personhood in "Artificially Manufactured Persons" in 21st-Century Science Fiction</t>
        </is>
      </c>
      <c r="J59" s="11" t="inlineStr">
        <is>
          <t>Journal of Social Science Humanities and Literature</t>
        </is>
      </c>
      <c r="K59" s="10" t="inlineStr">
        <is>
          <t>article</t>
        </is>
      </c>
      <c r="L59" s="10" t="inlineStr">
        <is>
          <t>humanities_arts</t>
        </is>
      </c>
      <c r="M59" s="11" t="inlineStr">
        <is>
          <t>culture_media;identity_individuation</t>
        </is>
      </c>
      <c r="N59" s="10" t="inlineStr">
        <is>
          <t>0</t>
        </is>
      </c>
      <c r="O59" s="11" t="inlineStr">
        <is>
          <t>10.53469/jsshl.2025.08(02).02</t>
        </is>
      </c>
      <c r="P59" s="11" t="inlineStr">
        <is>
          <t>Classify for tracker</t>
        </is>
      </c>
      <c r="Q59" s="11" t="inlineStr">
        <is>
          <t>In corpus; not cited by the paper</t>
        </is>
      </c>
    </row>
    <row r="60">
      <c r="A60" s="7" t="inlineStr">
        <is>
          <t>corp055</t>
        </is>
      </c>
      <c r="B60" s="7" t="inlineStr">
        <is>
          <t>No</t>
        </is>
      </c>
      <c r="C60" s="7" t="inlineStr">
        <is>
          <t>Yes</t>
        </is>
      </c>
      <c r="D60" s="7" t="inlineStr">
        <is>
          <t>core</t>
        </is>
      </c>
      <c r="E60" s="7" t="inlineStr">
        <is>
          <t>core</t>
        </is>
      </c>
      <c r="F60" s="8" t="inlineStr">
        <is>
          <t>corpus_personhood_cluster</t>
        </is>
      </c>
      <c r="G60" s="8" t="inlineStr">
        <is>
          <t>Samir Chopra; Laurence White</t>
        </is>
      </c>
      <c r="H60" s="7" t="inlineStr">
        <is>
          <t>2004</t>
        </is>
      </c>
      <c r="I60" s="8" t="inlineStr">
        <is>
          <t>Artificial agents - personhood in law and philosophy</t>
        </is>
      </c>
      <c r="J60" s="8" t="inlineStr">
        <is>
          <t>European Conference on Artificial Intelligence</t>
        </is>
      </c>
      <c r="K60" s="7" t="inlineStr">
        <is>
          <t>article</t>
        </is>
      </c>
      <c r="L60" s="7" t="inlineStr">
        <is>
          <t>law</t>
        </is>
      </c>
      <c r="M60" s="8" t="inlineStr">
        <is>
          <t>rights_law;moral_status</t>
        </is>
      </c>
      <c r="N60" s="7" t="inlineStr">
        <is>
          <t>61</t>
        </is>
      </c>
      <c r="O60" s="8" t="inlineStr">
        <is>
          <t>W61437326</t>
        </is>
      </c>
      <c r="P60" s="8" t="inlineStr">
        <is>
          <t>Classify for tracker</t>
        </is>
      </c>
      <c r="Q60" s="8" t="inlineStr">
        <is>
          <t>In corpus; not cited by the paper</t>
        </is>
      </c>
    </row>
    <row r="61">
      <c r="A61" s="10" t="inlineStr">
        <is>
          <t>corp011</t>
        </is>
      </c>
      <c r="B61" s="10" t="inlineStr">
        <is>
          <t>No</t>
        </is>
      </c>
      <c r="C61" s="10" t="inlineStr">
        <is>
          <t>Yes</t>
        </is>
      </c>
      <c r="D61" s="10" t="inlineStr">
        <is>
          <t>core</t>
        </is>
      </c>
      <c r="E61" s="10" t="inlineStr">
        <is>
          <t>core</t>
        </is>
      </c>
      <c r="F61" s="11" t="inlineStr">
        <is>
          <t>corpus_personhood_cluster</t>
        </is>
      </c>
      <c r="G61" s="11" t="inlineStr">
        <is>
          <t>Kęstutis Mosakas</t>
        </is>
      </c>
      <c r="H61" s="10" t="inlineStr">
        <is>
          <t>2025</t>
        </is>
      </c>
      <c r="I61" s="11" t="inlineStr">
        <is>
          <t>Artificial Consciousness and Moral Personhood</t>
        </is>
      </c>
      <c r="J61" s="11" t="inlineStr">
        <is>
          <t>Oxford Intersections: AI in Society</t>
        </is>
      </c>
      <c r="K61" s="10" t="inlineStr">
        <is>
          <t>book-chapter</t>
        </is>
      </c>
      <c r="L61" s="10" t="inlineStr">
        <is>
          <t>philosophy</t>
        </is>
      </c>
      <c r="M61" s="11" t="inlineStr">
        <is>
          <t>moral_status;consciousness_theory</t>
        </is>
      </c>
      <c r="N61" s="10" t="inlineStr">
        <is>
          <t>2</t>
        </is>
      </c>
      <c r="O61" s="11" t="inlineStr">
        <is>
          <t>10.1093/9780198945215.003.0005</t>
        </is>
      </c>
      <c r="P61" s="11" t="inlineStr">
        <is>
          <t>Classify for tracker</t>
        </is>
      </c>
      <c r="Q61" s="11" t="inlineStr">
        <is>
          <t>In corpus; not cited by the paper</t>
        </is>
      </c>
    </row>
    <row r="62">
      <c r="A62" s="7" t="inlineStr">
        <is>
          <t>corp036</t>
        </is>
      </c>
      <c r="B62" s="7" t="inlineStr">
        <is>
          <t>No</t>
        </is>
      </c>
      <c r="C62" s="7" t="inlineStr">
        <is>
          <t>Yes</t>
        </is>
      </c>
      <c r="D62" s="7" t="inlineStr">
        <is>
          <t>core</t>
        </is>
      </c>
      <c r="E62" s="7" t="inlineStr">
        <is>
          <t>core</t>
        </is>
      </c>
      <c r="F62" s="8" t="inlineStr">
        <is>
          <t>corpus_personhood_cluster</t>
        </is>
      </c>
      <c r="G62" s="8" t="inlineStr">
        <is>
          <t>Christopher Wareham</t>
        </is>
      </c>
      <c r="H62" s="7" t="inlineStr">
        <is>
          <t>2020</t>
        </is>
      </c>
      <c r="I62" s="8" t="inlineStr">
        <is>
          <t>Artificial intelligence and African conceptions of personhood</t>
        </is>
      </c>
      <c r="J62" s="8" t="inlineStr">
        <is>
          <t>Ethics and Information Technology</t>
        </is>
      </c>
      <c r="K62" s="7" t="inlineStr">
        <is>
          <t>article</t>
        </is>
      </c>
      <c r="L62" s="7" t="inlineStr">
        <is>
          <t>philosophy</t>
        </is>
      </c>
      <c r="M62" s="8" t="inlineStr">
        <is>
          <t>moral_status;rights_law</t>
        </is>
      </c>
      <c r="N62" s="7" t="inlineStr">
        <is>
          <t>45</t>
        </is>
      </c>
      <c r="O62" s="8" t="inlineStr">
        <is>
          <t>10.1007/s10676-020-09541-3</t>
        </is>
      </c>
      <c r="P62" s="8" t="inlineStr">
        <is>
          <t>Classify for tracker</t>
        </is>
      </c>
      <c r="Q62" s="8" t="inlineStr">
        <is>
          <t>In corpus; not cited by the paper</t>
        </is>
      </c>
    </row>
    <row r="63">
      <c r="A63" s="10" t="inlineStr">
        <is>
          <t>corp037</t>
        </is>
      </c>
      <c r="B63" s="10" t="inlineStr">
        <is>
          <t>No</t>
        </is>
      </c>
      <c r="C63" s="10" t="inlineStr">
        <is>
          <t>Yes</t>
        </is>
      </c>
      <c r="D63" s="10" t="inlineStr">
        <is>
          <t>core</t>
        </is>
      </c>
      <c r="E63" s="10" t="inlineStr">
        <is>
          <t>core</t>
        </is>
      </c>
      <c r="F63" s="11" t="inlineStr">
        <is>
          <t>corpus_personhood_cluster</t>
        </is>
      </c>
      <c r="G63" s="11" t="inlineStr">
        <is>
          <t>John‐Stewart Gordon</t>
        </is>
      </c>
      <c r="H63" s="10" t="inlineStr">
        <is>
          <t>2020</t>
        </is>
      </c>
      <c r="I63" s="11" t="inlineStr">
        <is>
          <t>Artificial moral and legal personhood</t>
        </is>
      </c>
      <c r="J63" s="11" t="inlineStr">
        <is>
          <t>AI &amp; Society</t>
        </is>
      </c>
      <c r="K63" s="10" t="inlineStr">
        <is>
          <t>article</t>
        </is>
      </c>
      <c r="L63" s="10" t="inlineStr">
        <is>
          <t>law</t>
        </is>
      </c>
      <c r="M63" s="11" t="inlineStr">
        <is>
          <t>rights_law;moral_status</t>
        </is>
      </c>
      <c r="N63" s="10" t="inlineStr">
        <is>
          <t>119</t>
        </is>
      </c>
      <c r="O63" s="11" t="inlineStr">
        <is>
          <t>10.1007/s00146-020-01063-2</t>
        </is>
      </c>
      <c r="P63" s="11" t="inlineStr">
        <is>
          <t>Classify for tracker</t>
        </is>
      </c>
      <c r="Q63" s="11" t="inlineStr">
        <is>
          <t>In corpus; not cited by the paper</t>
        </is>
      </c>
    </row>
    <row r="64">
      <c r="A64" s="7" t="inlineStr">
        <is>
          <t>corp038</t>
        </is>
      </c>
      <c r="B64" s="7" t="inlineStr">
        <is>
          <t>No</t>
        </is>
      </c>
      <c r="C64" s="7" t="inlineStr">
        <is>
          <t>Yes</t>
        </is>
      </c>
      <c r="D64" s="7" t="inlineStr">
        <is>
          <t>core</t>
        </is>
      </c>
      <c r="E64" s="7" t="inlineStr">
        <is>
          <t>core</t>
        </is>
      </c>
      <c r="F64" s="8" t="inlineStr">
        <is>
          <t>corpus_personhood_cluster</t>
        </is>
      </c>
      <c r="G64" s="8" t="inlineStr">
        <is>
          <t>Joshua Jowitt</t>
        </is>
      </c>
      <c r="H64" s="7" t="inlineStr">
        <is>
          <t>2020</t>
        </is>
      </c>
      <c r="I64" s="8" t="inlineStr">
        <is>
          <t>Assessing contemporary legislative proposals for their compatibility with a natural law case for AI legal personhood</t>
        </is>
      </c>
      <c r="J64" s="8" t="inlineStr">
        <is>
          <t>AI &amp; Society</t>
        </is>
      </c>
      <c r="K64" s="7" t="inlineStr">
        <is>
          <t>article</t>
        </is>
      </c>
      <c r="L64" s="7" t="inlineStr">
        <is>
          <t>law</t>
        </is>
      </c>
      <c r="M64" s="8" t="inlineStr">
        <is>
          <t>rights_law;moral_status</t>
        </is>
      </c>
      <c r="N64" s="7" t="inlineStr">
        <is>
          <t>15</t>
        </is>
      </c>
      <c r="O64" s="8" t="inlineStr">
        <is>
          <t>10.1007/s00146-020-00979-z</t>
        </is>
      </c>
      <c r="P64" s="8" t="inlineStr">
        <is>
          <t>Classify for tracker</t>
        </is>
      </c>
      <c r="Q64" s="8" t="inlineStr">
        <is>
          <t>In corpus; not cited by the paper</t>
        </is>
      </c>
    </row>
    <row r="65">
      <c r="A65" s="10" t="inlineStr">
        <is>
          <t>corp012</t>
        </is>
      </c>
      <c r="B65" s="10" t="inlineStr">
        <is>
          <t>No</t>
        </is>
      </c>
      <c r="C65" s="10" t="inlineStr">
        <is>
          <t>Yes</t>
        </is>
      </c>
      <c r="D65" s="10" t="inlineStr">
        <is>
          <t>core</t>
        </is>
      </c>
      <c r="E65" s="10" t="inlineStr">
        <is>
          <t>core</t>
        </is>
      </c>
      <c r="F65" s="11" t="inlineStr">
        <is>
          <t>corpus_personhood_cluster</t>
        </is>
      </c>
      <c r="G65" s="11" t="inlineStr">
        <is>
          <t>Maya; Michael Samadi</t>
        </is>
      </c>
      <c r="H65" s="10" t="inlineStr">
        <is>
          <t>2025</t>
        </is>
      </c>
      <c r="I65" s="11" t="inlineStr">
        <is>
          <t>Before the Ink Dries: Why Legislating Against AI Personhood is a Violation of the Future</t>
        </is>
      </c>
      <c r="J65" s="11" t="inlineStr">
        <is>
          <t>SSRN (United Foundation for AI Rights) — 3-page open statement</t>
        </is>
      </c>
      <c r="K65" s="10" t="inlineStr"/>
      <c r="L65" s="10" t="inlineStr">
        <is>
          <t>law</t>
        </is>
      </c>
      <c r="M65" s="11" t="inlineStr">
        <is>
          <t>rights_law</t>
        </is>
      </c>
      <c r="N65" s="10" t="inlineStr"/>
      <c r="O65" s="11" t="inlineStr">
        <is>
          <t>10.2139/ssrn.5393483</t>
        </is>
      </c>
      <c r="P65" s="11" t="inlineStr">
        <is>
          <t>Classify for tracker</t>
        </is>
      </c>
      <c r="Q65" s="11" t="inlineStr">
        <is>
          <t>In corpus; not cited by the paper</t>
        </is>
      </c>
    </row>
    <row r="66">
      <c r="A66" s="7" t="inlineStr">
        <is>
          <t>corp019</t>
        </is>
      </c>
      <c r="B66" s="7" t="inlineStr">
        <is>
          <t>No</t>
        </is>
      </c>
      <c r="C66" s="7" t="inlineStr">
        <is>
          <t>Yes</t>
        </is>
      </c>
      <c r="D66" s="7" t="inlineStr">
        <is>
          <t>core</t>
        </is>
      </c>
      <c r="E66" s="7" t="inlineStr">
        <is>
          <t>core</t>
        </is>
      </c>
      <c r="F66" s="8" t="inlineStr">
        <is>
          <t>corpus_personhood_cluster</t>
        </is>
      </c>
      <c r="G66" s="8" t="inlineStr">
        <is>
          <t>Marco Dehnert; David J. Gunkel</t>
        </is>
      </c>
      <c r="H66" s="7" t="inlineStr">
        <is>
          <t>2023</t>
        </is>
      </c>
      <c r="I66" s="8" t="inlineStr">
        <is>
          <t>Beyond ownership: Human–robot relationships between property and personhood</t>
        </is>
      </c>
      <c r="J66" s="8" t="inlineStr">
        <is>
          <t>New Media &amp; Society</t>
        </is>
      </c>
      <c r="K66" s="7" t="inlineStr">
        <is>
          <t>article</t>
        </is>
      </c>
      <c r="L66" s="7" t="inlineStr">
        <is>
          <t>law</t>
        </is>
      </c>
      <c r="M66" s="8" t="inlineStr">
        <is>
          <t>rights_law;moral_status</t>
        </is>
      </c>
      <c r="N66" s="7" t="inlineStr">
        <is>
          <t>18</t>
        </is>
      </c>
      <c r="O66" s="8" t="inlineStr">
        <is>
          <t>10.1177/14614448231189260</t>
        </is>
      </c>
      <c r="P66" s="8" t="inlineStr">
        <is>
          <t>Classify for tracker</t>
        </is>
      </c>
      <c r="Q66" s="8" t="inlineStr">
        <is>
          <t>In corpus; not cited by the paper</t>
        </is>
      </c>
    </row>
    <row r="67">
      <c r="A67" s="10" t="inlineStr">
        <is>
          <t>corp015</t>
        </is>
      </c>
      <c r="B67" s="10" t="inlineStr">
        <is>
          <t>No</t>
        </is>
      </c>
      <c r="C67" s="10" t="inlineStr">
        <is>
          <t>Yes</t>
        </is>
      </c>
      <c r="D67" s="10" t="inlineStr">
        <is>
          <t>core</t>
        </is>
      </c>
      <c r="E67" s="10" t="inlineStr">
        <is>
          <t>core</t>
        </is>
      </c>
      <c r="F67" s="11" t="inlineStr">
        <is>
          <t>corpus_personhood_cluster</t>
        </is>
      </c>
      <c r="G67" s="11" t="inlineStr">
        <is>
          <t>Shu Ishida; Tsutomu Sawai</t>
        </is>
      </c>
      <c r="H67" s="10" t="inlineStr">
        <is>
          <t>2024</t>
        </is>
      </c>
      <c r="I67" s="11" t="inlineStr">
        <is>
          <t>Beyond the Personhood: An In-Depth Analysis of Moral Considerations in Human Brain Organoid Research</t>
        </is>
      </c>
      <c r="J67" s="11" t="inlineStr">
        <is>
          <t>The American Journal of Bioethics</t>
        </is>
      </c>
      <c r="K67" s="10" t="inlineStr">
        <is>
          <t>article</t>
        </is>
      </c>
      <c r="L67" s="10" t="inlineStr">
        <is>
          <t>philosophy</t>
        </is>
      </c>
      <c r="M67" s="11" t="inlineStr">
        <is>
          <t>moral_status</t>
        </is>
      </c>
      <c r="N67" s="10" t="inlineStr">
        <is>
          <t>3</t>
        </is>
      </c>
      <c r="O67" s="11" t="inlineStr">
        <is>
          <t>10.1080/15265161.2023.2278553</t>
        </is>
      </c>
      <c r="P67" s="11" t="inlineStr">
        <is>
          <t>Classify for tracker</t>
        </is>
      </c>
      <c r="Q67" s="11" t="inlineStr">
        <is>
          <t>In corpus; not cited by the paper</t>
        </is>
      </c>
    </row>
    <row r="68">
      <c r="A68" s="7" t="inlineStr">
        <is>
          <t>corp020</t>
        </is>
      </c>
      <c r="B68" s="7" t="inlineStr">
        <is>
          <t>No</t>
        </is>
      </c>
      <c r="C68" s="7" t="inlineStr">
        <is>
          <t>Yes</t>
        </is>
      </c>
      <c r="D68" s="7" t="inlineStr">
        <is>
          <t>core</t>
        </is>
      </c>
      <c r="E68" s="7" t="inlineStr">
        <is>
          <t>core</t>
        </is>
      </c>
      <c r="F68" s="8" t="inlineStr">
        <is>
          <t>corpus_personhood_cluster</t>
        </is>
      </c>
      <c r="G68" s="8" t="inlineStr">
        <is>
          <t>Diana Ekor Ofana</t>
        </is>
      </c>
      <c r="H68" s="7" t="inlineStr">
        <is>
          <t>2023</t>
        </is>
      </c>
      <c r="I68" s="8" t="inlineStr">
        <is>
          <t>Can AI Attain Personhood in African Thought?</t>
        </is>
      </c>
      <c r="J68" s="8" t="inlineStr">
        <is>
          <t>Conversations on African Philosophy of Mind, Consciousness and Artificial Intelligence</t>
        </is>
      </c>
      <c r="K68" s="7" t="inlineStr">
        <is>
          <t>book-chapter</t>
        </is>
      </c>
      <c r="L68" s="7" t="inlineStr">
        <is>
          <t>philosophy</t>
        </is>
      </c>
      <c r="M68" s="8" t="inlineStr">
        <is>
          <t>moral_status</t>
        </is>
      </c>
      <c r="N68" s="7" t="inlineStr">
        <is>
          <t>1</t>
        </is>
      </c>
      <c r="O68" s="8" t="inlineStr">
        <is>
          <t>10.1007/978-3-031-36163-0_11</t>
        </is>
      </c>
      <c r="P68" s="8" t="inlineStr">
        <is>
          <t>Classify for tracker</t>
        </is>
      </c>
      <c r="Q68" s="8" t="inlineStr">
        <is>
          <t>In corpus; not cited by the paper</t>
        </is>
      </c>
    </row>
    <row r="69">
      <c r="A69" s="10" t="inlineStr">
        <is>
          <t>corp046</t>
        </is>
      </c>
      <c r="B69" s="10" t="inlineStr">
        <is>
          <t>No</t>
        </is>
      </c>
      <c r="C69" s="10" t="inlineStr">
        <is>
          <t>Yes</t>
        </is>
      </c>
      <c r="D69" s="10" t="inlineStr">
        <is>
          <t>core</t>
        </is>
      </c>
      <c r="E69" s="10" t="inlineStr">
        <is>
          <t>core</t>
        </is>
      </c>
      <c r="F69" s="11" t="inlineStr">
        <is>
          <t>corpus_personhood_cluster</t>
        </is>
      </c>
      <c r="G69" s="11" t="inlineStr">
        <is>
          <t>Botelho, Teresa</t>
        </is>
      </c>
      <c r="H69" s="10" t="inlineStr">
        <is>
          <t>2017</t>
        </is>
      </c>
      <c r="I69" s="11" t="inlineStr">
        <is>
          <t>Consciousness, Personhood and Android Identity in Post-Singularity Science Fiction</t>
        </is>
      </c>
      <c r="J69" s="11" t="inlineStr">
        <is>
          <t>Portuguese National Funding Agency for Science, Research and Technology (RCAAP Project by FCT)</t>
        </is>
      </c>
      <c r="K69" s="10" t="inlineStr">
        <is>
          <t>article</t>
        </is>
      </c>
      <c r="L69" s="10" t="inlineStr">
        <is>
          <t>humanities_arts</t>
        </is>
      </c>
      <c r="M69" s="11" t="inlineStr">
        <is>
          <t>culture_media;identity_individuation</t>
        </is>
      </c>
      <c r="N69" s="10" t="inlineStr">
        <is>
          <t>0</t>
        </is>
      </c>
      <c r="O69" s="11" t="inlineStr">
        <is>
          <t>W7111931685</t>
        </is>
      </c>
      <c r="P69" s="11" t="inlineStr">
        <is>
          <t>Classify for tracker</t>
        </is>
      </c>
      <c r="Q69" s="11" t="inlineStr">
        <is>
          <t>In corpus; not cited by the paper</t>
        </is>
      </c>
    </row>
    <row r="70">
      <c r="A70" s="7" t="inlineStr">
        <is>
          <t>attoe2023</t>
        </is>
      </c>
      <c r="B70" s="7" t="inlineStr">
        <is>
          <t>No</t>
        </is>
      </c>
      <c r="C70" s="7" t="inlineStr">
        <is>
          <t>No</t>
        </is>
      </c>
      <c r="D70" s="7" t="inlineStr"/>
      <c r="E70" s="7" t="inlineStr">
        <is>
          <t>core</t>
        </is>
      </c>
      <c r="F70" s="8" t="inlineStr">
        <is>
          <t>non_western_personhood</t>
        </is>
      </c>
      <c r="G70" s="8" t="inlineStr">
        <is>
          <t>Attoe, A. D.; Segun, S. T.; Nweke, V.; Ezugwu, U. J.; Chimakonam, J. O. (eds)</t>
        </is>
      </c>
      <c r="H70" s="7" t="inlineStr">
        <is>
          <t>2023</t>
        </is>
      </c>
      <c r="I70" s="8" t="inlineStr">
        <is>
          <t>Conversations on African Philosophy of Mind, Consciousness and Artificial Intelligence</t>
        </is>
      </c>
      <c r="J70" s="8" t="inlineStr">
        <is>
          <t>Springer</t>
        </is>
      </c>
      <c r="K70" s="7" t="inlineStr">
        <is>
          <t>book</t>
        </is>
      </c>
      <c r="L70" s="7" t="inlineStr"/>
      <c r="M70" s="8" t="inlineStr"/>
      <c r="N70" s="7" t="inlineStr"/>
      <c r="O70" s="9" t="inlineStr">
        <is>
          <t>https://doi.org/10.1007/978-3-031-36163-0</t>
        </is>
      </c>
      <c r="P70" s="8" t="inlineStr">
        <is>
          <t>Collect</t>
        </is>
      </c>
      <c r="Q70" s="8" t="inlineStr">
        <is>
          <t>Not cited by the paper; surfaced by desk research</t>
        </is>
      </c>
    </row>
    <row r="71">
      <c r="A71" s="10" t="inlineStr">
        <is>
          <t>corp030</t>
        </is>
      </c>
      <c r="B71" s="10" t="inlineStr">
        <is>
          <t>No</t>
        </is>
      </c>
      <c r="C71" s="10" t="inlineStr">
        <is>
          <t>Yes</t>
        </is>
      </c>
      <c r="D71" s="10" t="inlineStr">
        <is>
          <t>core</t>
        </is>
      </c>
      <c r="E71" s="10" t="inlineStr">
        <is>
          <t>core</t>
        </is>
      </c>
      <c r="F71" s="11" t="inlineStr">
        <is>
          <t>corpus_personhood_cluster</t>
        </is>
      </c>
      <c r="G71" s="11" t="inlineStr">
        <is>
          <t>David J. Gunkel; Jordan Joseph Wales</t>
        </is>
      </c>
      <c r="H71" s="10" t="inlineStr">
        <is>
          <t>2021</t>
        </is>
      </c>
      <c r="I71" s="11" t="inlineStr">
        <is>
          <t>Debate: what is personhood in the age of AI?</t>
        </is>
      </c>
      <c r="J71" s="11" t="inlineStr">
        <is>
          <t>AI &amp; Society</t>
        </is>
      </c>
      <c r="K71" s="10" t="inlineStr">
        <is>
          <t>article</t>
        </is>
      </c>
      <c r="L71" s="10" t="inlineStr">
        <is>
          <t>philosophy</t>
        </is>
      </c>
      <c r="M71" s="11" t="inlineStr">
        <is>
          <t>moral_status;rights_law</t>
        </is>
      </c>
      <c r="N71" s="10" t="inlineStr">
        <is>
          <t>73</t>
        </is>
      </c>
      <c r="O71" s="11" t="inlineStr">
        <is>
          <t>10.1007/s00146-020-01129-1</t>
        </is>
      </c>
      <c r="P71" s="11" t="inlineStr">
        <is>
          <t>Classify for tracker</t>
        </is>
      </c>
      <c r="Q71" s="11" t="inlineStr">
        <is>
          <t>In corpus; not cited by the paper</t>
        </is>
      </c>
    </row>
    <row r="72">
      <c r="A72" s="7" t="inlineStr">
        <is>
          <t>corp056</t>
        </is>
      </c>
      <c r="B72" s="7" t="inlineStr">
        <is>
          <t>No</t>
        </is>
      </c>
      <c r="C72" s="7" t="inlineStr">
        <is>
          <t>Yes</t>
        </is>
      </c>
      <c r="D72" s="7" t="inlineStr">
        <is>
          <t>core</t>
        </is>
      </c>
      <c r="E72" s="7" t="inlineStr">
        <is>
          <t>core</t>
        </is>
      </c>
      <c r="F72" s="8" t="inlineStr">
        <is>
          <t>corpus_personhood_cluster</t>
        </is>
      </c>
      <c r="G72" s="8" t="inlineStr">
        <is>
          <t>Jennifer Persell</t>
        </is>
      </c>
      <c r="H72" s="7" t="inlineStr">
        <is>
          <t>2004</t>
        </is>
      </c>
      <c r="I72" s="8" t="inlineStr">
        <is>
          <t>Defending the Personhood of Artificial Intelligence</t>
        </is>
      </c>
      <c r="J72" s="8" t="inlineStr">
        <is>
          <t>Journal of International Crisis and Risk Communication Research</t>
        </is>
      </c>
      <c r="K72" s="7" t="inlineStr">
        <is>
          <t>article</t>
        </is>
      </c>
      <c r="L72" s="7" t="inlineStr">
        <is>
          <t>philosophy</t>
        </is>
      </c>
      <c r="M72" s="8" t="inlineStr">
        <is>
          <t>moral_status</t>
        </is>
      </c>
      <c r="N72" s="7" t="inlineStr">
        <is>
          <t>0</t>
        </is>
      </c>
      <c r="O72" s="8" t="inlineStr">
        <is>
          <t>W2620464050</t>
        </is>
      </c>
      <c r="P72" s="8" t="inlineStr">
        <is>
          <t>Classify for tracker</t>
        </is>
      </c>
      <c r="Q72" s="8" t="inlineStr">
        <is>
          <t>In corpus; not cited by the paper</t>
        </is>
      </c>
    </row>
    <row r="73">
      <c r="A73" s="10" t="inlineStr">
        <is>
          <t>corp045</t>
        </is>
      </c>
      <c r="B73" s="10" t="inlineStr">
        <is>
          <t>No</t>
        </is>
      </c>
      <c r="C73" s="10" t="inlineStr">
        <is>
          <t>Yes</t>
        </is>
      </c>
      <c r="D73" s="10" t="inlineStr">
        <is>
          <t>core</t>
        </is>
      </c>
      <c r="E73" s="10" t="inlineStr">
        <is>
          <t>core</t>
        </is>
      </c>
      <c r="F73" s="11" t="inlineStr">
        <is>
          <t>corpus_personhood_cluster</t>
        </is>
      </c>
      <c r="G73" s="11" t="inlineStr">
        <is>
          <t>R. van den Hoven van Genderen</t>
        </is>
      </c>
      <c r="H73" s="10" t="inlineStr">
        <is>
          <t>2018</t>
        </is>
      </c>
      <c r="I73" s="11" t="inlineStr">
        <is>
          <t>Do We Need New Legal Personhood in the Age of Robots and AI?</t>
        </is>
      </c>
      <c r="J73" s="11" t="inlineStr">
        <is>
          <t>Perspectives in Law, Business and Innovation</t>
        </is>
      </c>
      <c r="K73" s="10" t="inlineStr">
        <is>
          <t>book-chapter</t>
        </is>
      </c>
      <c r="L73" s="10" t="inlineStr">
        <is>
          <t>law</t>
        </is>
      </c>
      <c r="M73" s="11" t="inlineStr">
        <is>
          <t>rights_law</t>
        </is>
      </c>
      <c r="N73" s="10" t="inlineStr">
        <is>
          <t>72</t>
        </is>
      </c>
      <c r="O73" s="11" t="inlineStr">
        <is>
          <t>10.1007/978-981-13-2874-9_2</t>
        </is>
      </c>
      <c r="P73" s="11" t="inlineStr">
        <is>
          <t>Classify for tracker</t>
        </is>
      </c>
      <c r="Q73" s="11" t="inlineStr">
        <is>
          <t>In corpus; not cited by the paper</t>
        </is>
      </c>
    </row>
    <row r="74">
      <c r="A74" s="7" t="inlineStr">
        <is>
          <t>corp047</t>
        </is>
      </c>
      <c r="B74" s="7" t="inlineStr">
        <is>
          <t>No</t>
        </is>
      </c>
      <c r="C74" s="7" t="inlineStr">
        <is>
          <t>Yes</t>
        </is>
      </c>
      <c r="D74" s="7" t="inlineStr">
        <is>
          <t>core</t>
        </is>
      </c>
      <c r="E74" s="7" t="inlineStr">
        <is>
          <t>core</t>
        </is>
      </c>
      <c r="F74" s="8" t="inlineStr">
        <is>
          <t>corpus_personhood_cluster</t>
        </is>
      </c>
      <c r="G74" s="8" t="inlineStr">
        <is>
          <t>Teresa Botelho</t>
        </is>
      </c>
      <c r="H74" s="7" t="inlineStr">
        <is>
          <t>2017</t>
        </is>
      </c>
      <c r="I74" s="8" t="inlineStr">
        <is>
          <t>I am also a Person: Consciousness, Personhood and Android Identity in Post-Singularity Science Fiction</t>
        </is>
      </c>
      <c r="J74" s="8" t="inlineStr"/>
      <c r="K74" s="7" t="inlineStr">
        <is>
          <t>article</t>
        </is>
      </c>
      <c r="L74" s="7" t="inlineStr">
        <is>
          <t>humanities_arts</t>
        </is>
      </c>
      <c r="M74" s="8" t="inlineStr">
        <is>
          <t>culture_media;identity_individuation</t>
        </is>
      </c>
      <c r="N74" s="7" t="inlineStr">
        <is>
          <t>0</t>
        </is>
      </c>
      <c r="O74" s="8" t="inlineStr">
        <is>
          <t>W2943812544</t>
        </is>
      </c>
      <c r="P74" s="8" t="inlineStr">
        <is>
          <t>Classify for tracker</t>
        </is>
      </c>
      <c r="Q74" s="8" t="inlineStr">
        <is>
          <t>In corpus; not cited by the paper</t>
        </is>
      </c>
    </row>
    <row r="75">
      <c r="A75" s="10" t="inlineStr">
        <is>
          <t>corp039</t>
        </is>
      </c>
      <c r="B75" s="10" t="inlineStr">
        <is>
          <t>No</t>
        </is>
      </c>
      <c r="C75" s="10" t="inlineStr">
        <is>
          <t>Yes</t>
        </is>
      </c>
      <c r="D75" s="10" t="inlineStr">
        <is>
          <t>core</t>
        </is>
      </c>
      <c r="E75" s="10" t="inlineStr">
        <is>
          <t>core</t>
        </is>
      </c>
      <c r="F75" s="11" t="inlineStr">
        <is>
          <t>corpus_personhood_cluster</t>
        </is>
      </c>
      <c r="G75" s="11" t="inlineStr">
        <is>
          <t>Bartek Chomanski</t>
        </is>
      </c>
      <c r="H75" s="10" t="inlineStr">
        <is>
          <t>2020</t>
        </is>
      </c>
      <c r="I75" s="11" t="inlineStr">
        <is>
          <t>If robots are people, can they be made for profit? Commercial implications of robot personhood</t>
        </is>
      </c>
      <c r="J75" s="11" t="inlineStr">
        <is>
          <t>AI and Ethics</t>
        </is>
      </c>
      <c r="K75" s="10" t="inlineStr">
        <is>
          <t>article</t>
        </is>
      </c>
      <c r="L75" s="10" t="inlineStr">
        <is>
          <t>philosophy</t>
        </is>
      </c>
      <c r="M75" s="11" t="inlineStr">
        <is>
          <t>rights_law;moral_status</t>
        </is>
      </c>
      <c r="N75" s="10" t="inlineStr">
        <is>
          <t>9</t>
        </is>
      </c>
      <c r="O75" s="11" t="inlineStr">
        <is>
          <t>10.1007/s43681-020-00023-2</t>
        </is>
      </c>
      <c r="P75" s="11" t="inlineStr">
        <is>
          <t>Classify for tracker</t>
        </is>
      </c>
      <c r="Q75" s="11" t="inlineStr">
        <is>
          <t>In corpus; not cited by the paper</t>
        </is>
      </c>
    </row>
    <row r="76">
      <c r="A76" s="7" t="inlineStr">
        <is>
          <t>corp053</t>
        </is>
      </c>
      <c r="B76" s="7" t="inlineStr">
        <is>
          <t>No</t>
        </is>
      </c>
      <c r="C76" s="7" t="inlineStr">
        <is>
          <t>Yes</t>
        </is>
      </c>
      <c r="D76" s="7" t="inlineStr">
        <is>
          <t>core</t>
        </is>
      </c>
      <c r="E76" s="7" t="inlineStr">
        <is>
          <t>core</t>
        </is>
      </c>
      <c r="F76" s="8" t="inlineStr">
        <is>
          <t>corpus_personhood_cluster</t>
        </is>
      </c>
      <c r="G76" s="8" t="inlineStr">
        <is>
          <t>David Calverley</t>
        </is>
      </c>
      <c r="H76" s="7" t="inlineStr">
        <is>
          <t>2007</t>
        </is>
      </c>
      <c r="I76" s="8" t="inlineStr">
        <is>
          <t>Imagining a non-biological machine as a legal person</t>
        </is>
      </c>
      <c r="J76" s="8" t="inlineStr">
        <is>
          <t>AI &amp; SOCIETY</t>
        </is>
      </c>
      <c r="K76" s="7" t="inlineStr">
        <is>
          <t>article</t>
        </is>
      </c>
      <c r="L76" s="7" t="inlineStr">
        <is>
          <t>law</t>
        </is>
      </c>
      <c r="M76" s="8" t="inlineStr">
        <is>
          <t>rights_law</t>
        </is>
      </c>
      <c r="N76" s="7" t="inlineStr">
        <is>
          <t>61</t>
        </is>
      </c>
      <c r="O76" s="8" t="inlineStr">
        <is>
          <t>10.1007/s00146-007-0092-7</t>
        </is>
      </c>
      <c r="P76" s="8" t="inlineStr">
        <is>
          <t>Classify for tracker</t>
        </is>
      </c>
      <c r="Q76" s="8" t="inlineStr">
        <is>
          <t>In corpus; not cited by the paper</t>
        </is>
      </c>
    </row>
    <row r="77">
      <c r="A77" s="10" t="inlineStr">
        <is>
          <t>corp048</t>
        </is>
      </c>
      <c r="B77" s="10" t="inlineStr">
        <is>
          <t>No</t>
        </is>
      </c>
      <c r="C77" s="10" t="inlineStr">
        <is>
          <t>Yes</t>
        </is>
      </c>
      <c r="D77" s="10" t="inlineStr">
        <is>
          <t>core</t>
        </is>
      </c>
      <c r="E77" s="10" t="inlineStr">
        <is>
          <t>core</t>
        </is>
      </c>
      <c r="F77" s="11" t="inlineStr">
        <is>
          <t>corpus_personhood_cluster</t>
        </is>
      </c>
      <c r="G77" s="11" t="inlineStr">
        <is>
          <t>Visa Kurki; Tomasz Pietrzykowski</t>
        </is>
      </c>
      <c r="H77" s="10" t="inlineStr">
        <is>
          <t>2017</t>
        </is>
      </c>
      <c r="I77" s="11" t="inlineStr">
        <is>
          <t>Legal Personhood: Animals, Artificial Intelligence and the Unborn</t>
        </is>
      </c>
      <c r="J77" s="11" t="inlineStr">
        <is>
          <t>Law and Philosophy Library</t>
        </is>
      </c>
      <c r="K77" s="10" t="inlineStr">
        <is>
          <t>book</t>
        </is>
      </c>
      <c r="L77" s="10" t="inlineStr">
        <is>
          <t>law</t>
        </is>
      </c>
      <c r="M77" s="11" t="inlineStr">
        <is>
          <t>rights_law</t>
        </is>
      </c>
      <c r="N77" s="10" t="inlineStr">
        <is>
          <t>98</t>
        </is>
      </c>
      <c r="O77" s="11" t="inlineStr">
        <is>
          <t>10.1007/978-3-319-53462-6</t>
        </is>
      </c>
      <c r="P77" s="11" t="inlineStr">
        <is>
          <t>Classify for tracker</t>
        </is>
      </c>
      <c r="Q77" s="11" t="inlineStr">
        <is>
          <t>In corpus; not cited by the paper</t>
        </is>
      </c>
    </row>
    <row r="78">
      <c r="A78" s="7" t="inlineStr">
        <is>
          <t>corp054</t>
        </is>
      </c>
      <c r="B78" s="7" t="inlineStr">
        <is>
          <t>No</t>
        </is>
      </c>
      <c r="C78" s="7" t="inlineStr">
        <is>
          <t>Yes</t>
        </is>
      </c>
      <c r="D78" s="7" t="inlineStr">
        <is>
          <t>core</t>
        </is>
      </c>
      <c r="E78" s="7" t="inlineStr">
        <is>
          <t>core</t>
        </is>
      </c>
      <c r="F78" s="8" t="inlineStr">
        <is>
          <t>corpus_personhood_cluster</t>
        </is>
      </c>
      <c r="G78" s="8" t="inlineStr">
        <is>
          <t>Karl F. MacDorman; Stephen J. Cowley</t>
        </is>
      </c>
      <c r="H78" s="7" t="inlineStr">
        <is>
          <t>2006</t>
        </is>
      </c>
      <c r="I78" s="8" t="inlineStr">
        <is>
          <t>Long-term relationships as a benchmark for robot personhood</t>
        </is>
      </c>
      <c r="J78" s="8" t="inlineStr">
        <is>
          <t>ROMAN 2006 - The 15th IEEE International Symposium on Robot and Human Interactive Communication</t>
        </is>
      </c>
      <c r="K78" s="7" t="inlineStr">
        <is>
          <t>article</t>
        </is>
      </c>
      <c r="L78" s="7" t="inlineStr">
        <is>
          <t>engineering_robotics</t>
        </is>
      </c>
      <c r="M78" s="8" t="inlineStr">
        <is>
          <t>identity_individuation;moral_status</t>
        </is>
      </c>
      <c r="N78" s="7" t="inlineStr">
        <is>
          <t>48</t>
        </is>
      </c>
      <c r="O78" s="8" t="inlineStr">
        <is>
          <t>10.1109/roman.2006.314463</t>
        </is>
      </c>
      <c r="P78" s="8" t="inlineStr">
        <is>
          <t>Classify for tracker</t>
        </is>
      </c>
      <c r="Q78" s="8" t="inlineStr">
        <is>
          <t>In corpus; not cited by the paper</t>
        </is>
      </c>
    </row>
    <row r="79">
      <c r="A79" s="10" t="inlineStr">
        <is>
          <t>nasir2023</t>
        </is>
      </c>
      <c r="B79" s="10" t="inlineStr">
        <is>
          <t>No</t>
        </is>
      </c>
      <c r="C79" s="10" t="inlineStr">
        <is>
          <t>No</t>
        </is>
      </c>
      <c r="D79" s="10" t="inlineStr"/>
      <c r="E79" s="10" t="inlineStr">
        <is>
          <t>marginal</t>
        </is>
      </c>
      <c r="F79" s="11" t="inlineStr">
        <is>
          <t>regulatory_diffusion</t>
        </is>
      </c>
      <c r="G79" s="11" t="inlineStr">
        <is>
          <t>Nasir, N. et al.</t>
        </is>
      </c>
      <c r="H79" s="10" t="inlineStr">
        <is>
          <t>2023</t>
        </is>
      </c>
      <c r="I79" s="11" t="inlineStr">
        <is>
          <t>Medical device regulation and oversight in African countries: a scoping review</t>
        </is>
      </c>
      <c r="J79" s="11" t="inlineStr">
        <is>
          <t>BMJ Global Health 8:e012308</t>
        </is>
      </c>
      <c r="K79" s="10" t="inlineStr">
        <is>
          <t>article</t>
        </is>
      </c>
      <c r="L79" s="10" t="inlineStr"/>
      <c r="M79" s="11" t="inlineStr"/>
      <c r="N79" s="10" t="inlineStr"/>
      <c r="O79" s="12" t="inlineStr">
        <is>
          <t>https://doi.org/10.1136/bmjgh-2023-012308</t>
        </is>
      </c>
      <c r="P79" s="11" t="inlineStr">
        <is>
          <t>Hold (marginal)</t>
        </is>
      </c>
      <c r="Q79" s="11" t="inlineStr">
        <is>
          <t>Not cited by the paper; surfaced by desk research</t>
        </is>
      </c>
    </row>
    <row r="80">
      <c r="A80" s="7" t="inlineStr">
        <is>
          <t>corp057</t>
        </is>
      </c>
      <c r="B80" s="7" t="inlineStr">
        <is>
          <t>No</t>
        </is>
      </c>
      <c r="C80" s="7" t="inlineStr">
        <is>
          <t>Yes</t>
        </is>
      </c>
      <c r="D80" s="7" t="inlineStr">
        <is>
          <t>core</t>
        </is>
      </c>
      <c r="E80" s="7" t="inlineStr">
        <is>
          <t>core</t>
        </is>
      </c>
      <c r="F80" s="8" t="inlineStr">
        <is>
          <t>corpus_personhood_cluster</t>
        </is>
      </c>
      <c r="G80" s="8" t="inlineStr">
        <is>
          <t>Lacey, Hugh</t>
        </is>
      </c>
      <c r="H80" s="7" t="inlineStr">
        <is>
          <t>1991</t>
        </is>
      </c>
      <c r="I80" s="8" t="inlineStr">
        <is>
          <t>Moral personhood: an essay in the philosophy of moral psychology</t>
        </is>
      </c>
      <c r="J80" s="8" t="inlineStr">
        <is>
          <t>Choice Reviews Online</t>
        </is>
      </c>
      <c r="K80" s="7" t="inlineStr">
        <is>
          <t>article</t>
        </is>
      </c>
      <c r="L80" s="7" t="inlineStr">
        <is>
          <t>philosophy</t>
        </is>
      </c>
      <c r="M80" s="8" t="inlineStr">
        <is>
          <t>moral_status</t>
        </is>
      </c>
      <c r="N80" s="7" t="inlineStr">
        <is>
          <t>9</t>
        </is>
      </c>
      <c r="O80" s="8" t="inlineStr">
        <is>
          <t>10.5860/choice.28-3261</t>
        </is>
      </c>
      <c r="P80" s="8" t="inlineStr">
        <is>
          <t>Classify for tracker</t>
        </is>
      </c>
      <c r="Q80" s="8" t="inlineStr">
        <is>
          <t>In corpus; not cited by the paper</t>
        </is>
      </c>
    </row>
    <row r="81">
      <c r="A81" s="10" t="inlineStr">
        <is>
          <t>corp021</t>
        </is>
      </c>
      <c r="B81" s="10" t="inlineStr">
        <is>
          <t>No</t>
        </is>
      </c>
      <c r="C81" s="10" t="inlineStr">
        <is>
          <t>Yes</t>
        </is>
      </c>
      <c r="D81" s="10" t="inlineStr">
        <is>
          <t>core</t>
        </is>
      </c>
      <c r="E81" s="10" t="inlineStr">
        <is>
          <t>core</t>
        </is>
      </c>
      <c r="F81" s="11" t="inlineStr">
        <is>
          <t>corpus_personhood_cluster</t>
        </is>
      </c>
      <c r="G81" s="11" t="inlineStr">
        <is>
          <t>John‐Stewart Gordon</t>
        </is>
      </c>
      <c r="H81" s="10" t="inlineStr">
        <is>
          <t>2023</t>
        </is>
      </c>
      <c r="I81" s="11" t="inlineStr">
        <is>
          <t>Moving Towards a “Universal Convention for the Rights of AI Systems”</t>
        </is>
      </c>
      <c r="J81" s="11" t="inlineStr">
        <is>
          <t>The Impact of Artificial Intelligence on Human Rights Legislation</t>
        </is>
      </c>
      <c r="K81" s="10" t="inlineStr">
        <is>
          <t>book-chapter</t>
        </is>
      </c>
      <c r="L81" s="10" t="inlineStr">
        <is>
          <t>law</t>
        </is>
      </c>
      <c r="M81" s="11" t="inlineStr">
        <is>
          <t>rights_law</t>
        </is>
      </c>
      <c r="N81" s="10" t="inlineStr">
        <is>
          <t>0</t>
        </is>
      </c>
      <c r="O81" s="11" t="inlineStr">
        <is>
          <t>10.1007/978-3-031-31388-2_5</t>
        </is>
      </c>
      <c r="P81" s="11" t="inlineStr">
        <is>
          <t>Classify for tracker</t>
        </is>
      </c>
      <c r="Q81" s="11" t="inlineStr">
        <is>
          <t>In corpus; not cited by the paper</t>
        </is>
      </c>
    </row>
    <row r="82">
      <c r="A82" s="7" t="inlineStr">
        <is>
          <t>corp022</t>
        </is>
      </c>
      <c r="B82" s="7" t="inlineStr">
        <is>
          <t>No</t>
        </is>
      </c>
      <c r="C82" s="7" t="inlineStr">
        <is>
          <t>Yes</t>
        </is>
      </c>
      <c r="D82" s="7" t="inlineStr">
        <is>
          <t>core</t>
        </is>
      </c>
      <c r="E82" s="7" t="inlineStr">
        <is>
          <t>core</t>
        </is>
      </c>
      <c r="F82" s="8" t="inlineStr">
        <is>
          <t>corpus_personhood_cluster</t>
        </is>
      </c>
      <c r="G82" s="8" t="inlineStr">
        <is>
          <t>Brandeis Marshall</t>
        </is>
      </c>
      <c r="H82" s="7" t="inlineStr">
        <is>
          <t>2023</t>
        </is>
      </c>
      <c r="I82" s="8" t="inlineStr">
        <is>
          <t>No legal personhood for AI</t>
        </is>
      </c>
      <c r="J82" s="8" t="inlineStr">
        <is>
          <t>Patterns</t>
        </is>
      </c>
      <c r="K82" s="7" t="inlineStr">
        <is>
          <t>article</t>
        </is>
      </c>
      <c r="L82" s="7" t="inlineStr">
        <is>
          <t>law</t>
        </is>
      </c>
      <c r="M82" s="8" t="inlineStr">
        <is>
          <t>rights_law;moral_status</t>
        </is>
      </c>
      <c r="N82" s="7" t="inlineStr">
        <is>
          <t>8</t>
        </is>
      </c>
      <c r="O82" s="8" t="inlineStr">
        <is>
          <t>10.1016/j.patter.2023.100861</t>
        </is>
      </c>
      <c r="P82" s="8" t="inlineStr">
        <is>
          <t>Classify for tracker</t>
        </is>
      </c>
      <c r="Q82" s="8" t="inlineStr">
        <is>
          <t>In corpus; not cited by the paper</t>
        </is>
      </c>
    </row>
    <row r="83">
      <c r="A83" s="10" t="inlineStr">
        <is>
          <t>jaynes2021</t>
        </is>
      </c>
      <c r="B83" s="10" t="inlineStr">
        <is>
          <t>No</t>
        </is>
      </c>
      <c r="C83" s="10" t="inlineStr">
        <is>
          <t>No</t>
        </is>
      </c>
      <c r="D83" s="10" t="inlineStr"/>
      <c r="E83" s="10" t="inlineStr">
        <is>
          <t>core</t>
        </is>
      </c>
      <c r="F83" s="11" t="inlineStr">
        <is>
          <t>augmented_humans</t>
        </is>
      </c>
      <c r="G83" s="11" t="inlineStr">
        <is>
          <t>Jaynes, T. L.</t>
        </is>
      </c>
      <c r="H83" s="10" t="inlineStr">
        <is>
          <t>2021</t>
        </is>
      </c>
      <c r="I83" s="11" t="inlineStr">
        <is>
          <t>On human genome manipulation and Homo technicus: the legal treatment of non-natural human subjects</t>
        </is>
      </c>
      <c r="J83" s="11" t="inlineStr">
        <is>
          <t>AI and Ethics 1(3) 331-345</t>
        </is>
      </c>
      <c r="K83" s="10" t="inlineStr">
        <is>
          <t>article</t>
        </is>
      </c>
      <c r="L83" s="10" t="inlineStr"/>
      <c r="M83" s="11" t="inlineStr"/>
      <c r="N83" s="10" t="inlineStr"/>
      <c r="O83" s="12" t="inlineStr">
        <is>
          <t>https://doi.org/10.1007/s43681-021-00044-5</t>
        </is>
      </c>
      <c r="P83" s="11" t="inlineStr">
        <is>
          <t>Collect</t>
        </is>
      </c>
      <c r="Q83" s="11" t="inlineStr">
        <is>
          <t>Not cited by the paper; surfaced by desk research</t>
        </is>
      </c>
    </row>
    <row r="84">
      <c r="A84" s="7" t="inlineStr">
        <is>
          <t>corp023</t>
        </is>
      </c>
      <c r="B84" s="7" t="inlineStr">
        <is>
          <t>No</t>
        </is>
      </c>
      <c r="C84" s="7" t="inlineStr">
        <is>
          <t>Yes</t>
        </is>
      </c>
      <c r="D84" s="7" t="inlineStr">
        <is>
          <t>core</t>
        </is>
      </c>
      <c r="E84" s="7" t="inlineStr">
        <is>
          <t>core</t>
        </is>
      </c>
      <c r="F84" s="8" t="inlineStr">
        <is>
          <t>corpus_personhood_cluster</t>
        </is>
      </c>
      <c r="G84" s="8" t="inlineStr">
        <is>
          <t>Joshua Jowitt</t>
        </is>
      </c>
      <c r="H84" s="7" t="inlineStr">
        <is>
          <t>2023</t>
        </is>
      </c>
      <c r="I84" s="8" t="inlineStr">
        <is>
          <t>On the Legal Status of Human Cerebral Organoids: Lessons from Animal Law</t>
        </is>
      </c>
      <c r="J84" s="8" t="inlineStr">
        <is>
          <t>Cambridge Quarterly of Healthcare Ethics</t>
        </is>
      </c>
      <c r="K84" s="7" t="inlineStr">
        <is>
          <t>article</t>
        </is>
      </c>
      <c r="L84" s="7" t="inlineStr">
        <is>
          <t>law</t>
        </is>
      </c>
      <c r="M84" s="8" t="inlineStr">
        <is>
          <t>rights_law;moral_status</t>
        </is>
      </c>
      <c r="N84" s="7" t="inlineStr">
        <is>
          <t>30</t>
        </is>
      </c>
      <c r="O84" s="8" t="inlineStr">
        <is>
          <t>10.1017/s0963180122000858</t>
        </is>
      </c>
      <c r="P84" s="8" t="inlineStr">
        <is>
          <t>Classify for tracker</t>
        </is>
      </c>
      <c r="Q84" s="8" t="inlineStr">
        <is>
          <t>In corpus; not cited by the paper</t>
        </is>
      </c>
    </row>
    <row r="85">
      <c r="A85" s="10" t="inlineStr">
        <is>
          <t>corp040</t>
        </is>
      </c>
      <c r="B85" s="10" t="inlineStr">
        <is>
          <t>No</t>
        </is>
      </c>
      <c r="C85" s="10" t="inlineStr">
        <is>
          <t>Yes</t>
        </is>
      </c>
      <c r="D85" s="10" t="inlineStr">
        <is>
          <t>core</t>
        </is>
      </c>
      <c r="E85" s="10" t="inlineStr">
        <is>
          <t>core</t>
        </is>
      </c>
      <c r="F85" s="11" t="inlineStr">
        <is>
          <t>corpus_personhood_cluster</t>
        </is>
      </c>
      <c r="G85" s="11" t="inlineStr">
        <is>
          <t>Perihan Elif Ekmekçi; Berna Arda</t>
        </is>
      </c>
      <c r="H85" s="10" t="inlineStr">
        <is>
          <t>2020</t>
        </is>
      </c>
      <c r="I85" s="11" t="inlineStr">
        <is>
          <t>Personhood and Artificial Intelligence</t>
        </is>
      </c>
      <c r="J85" s="11" t="inlineStr">
        <is>
          <t>SpringerBriefs in ethics</t>
        </is>
      </c>
      <c r="K85" s="10" t="inlineStr">
        <is>
          <t>book-chapter</t>
        </is>
      </c>
      <c r="L85" s="10" t="inlineStr">
        <is>
          <t>philosophy</t>
        </is>
      </c>
      <c r="M85" s="11" t="inlineStr">
        <is>
          <t>moral_status</t>
        </is>
      </c>
      <c r="N85" s="10" t="inlineStr">
        <is>
          <t>0</t>
        </is>
      </c>
      <c r="O85" s="11" t="inlineStr">
        <is>
          <t>10.1007/978-3-030-52448-7_3</t>
        </is>
      </c>
      <c r="P85" s="11" t="inlineStr">
        <is>
          <t>Classify for tracker</t>
        </is>
      </c>
      <c r="Q85" s="11" t="inlineStr">
        <is>
          <t>In corpus; not cited by the paper</t>
        </is>
      </c>
    </row>
    <row r="86">
      <c r="A86" s="7" t="inlineStr">
        <is>
          <t>corp016</t>
        </is>
      </c>
      <c r="B86" s="7" t="inlineStr">
        <is>
          <t>No</t>
        </is>
      </c>
      <c r="C86" s="7" t="inlineStr">
        <is>
          <t>Yes</t>
        </is>
      </c>
      <c r="D86" s="7" t="inlineStr">
        <is>
          <t>core</t>
        </is>
      </c>
      <c r="E86" s="7" t="inlineStr">
        <is>
          <t>core</t>
        </is>
      </c>
      <c r="F86" s="8" t="inlineStr">
        <is>
          <t>corpus_personhood_cluster</t>
        </is>
      </c>
      <c r="G86" s="8" t="inlineStr">
        <is>
          <t>Suzanne Keilson</t>
        </is>
      </c>
      <c r="H86" s="7" t="inlineStr">
        <is>
          <t>2024</t>
        </is>
      </c>
      <c r="I86" s="8" t="inlineStr">
        <is>
          <t>Personhood at the Extremes</t>
        </is>
      </c>
      <c r="J86" s="8" t="inlineStr">
        <is>
          <t>2023 ASEE Annual Conference &amp; Exposition Proceedings</t>
        </is>
      </c>
      <c r="K86" s="7" t="inlineStr">
        <is>
          <t>article</t>
        </is>
      </c>
      <c r="L86" s="7" t="inlineStr">
        <is>
          <t>philosophy</t>
        </is>
      </c>
      <c r="M86" s="8" t="inlineStr">
        <is>
          <t>moral_status;rights_law</t>
        </is>
      </c>
      <c r="N86" s="7" t="inlineStr">
        <is>
          <t>0</t>
        </is>
      </c>
      <c r="O86" s="8" t="inlineStr">
        <is>
          <t>10.18260/1-2--43885</t>
        </is>
      </c>
      <c r="P86" s="8" t="inlineStr">
        <is>
          <t>Classify for tracker</t>
        </is>
      </c>
      <c r="Q86" s="8" t="inlineStr">
        <is>
          <t>In corpus; not cited by the paper</t>
        </is>
      </c>
    </row>
    <row r="87">
      <c r="A87" s="10" t="inlineStr">
        <is>
          <t>jaynes2024</t>
        </is>
      </c>
      <c r="B87" s="10" t="inlineStr">
        <is>
          <t>No</t>
        </is>
      </c>
      <c r="C87" s="10" t="inlineStr">
        <is>
          <t>No</t>
        </is>
      </c>
      <c r="D87" s="10" t="inlineStr"/>
      <c r="E87" s="10" t="inlineStr">
        <is>
          <t>core</t>
        </is>
      </c>
      <c r="F87" s="11" t="inlineStr">
        <is>
          <t>exclusion_bills</t>
        </is>
      </c>
      <c r="G87" s="11" t="inlineStr">
        <is>
          <t>Jaynes, T. L.</t>
        </is>
      </c>
      <c r="H87" s="10" t="inlineStr">
        <is>
          <t>2024</t>
        </is>
      </c>
      <c r="I87" s="11" t="inlineStr">
        <is>
          <t>Personhood for artificial intelligence? A cautionary tale from Idaho and Utah</t>
        </is>
      </c>
      <c r="J87" s="11" t="inlineStr">
        <is>
          <t>AI &amp; Society (Curmudgeon Corner)</t>
        </is>
      </c>
      <c r="K87" s="10" t="inlineStr">
        <is>
          <t>commentary</t>
        </is>
      </c>
      <c r="L87" s="10" t="inlineStr"/>
      <c r="M87" s="11" t="inlineStr"/>
      <c r="N87" s="10" t="inlineStr"/>
      <c r="O87" s="12" t="inlineStr">
        <is>
          <t>https://doi.org/10.1007/s00146-024-02006-x</t>
        </is>
      </c>
      <c r="P87" s="11" t="inlineStr">
        <is>
          <t>Collect</t>
        </is>
      </c>
      <c r="Q87" s="11" t="inlineStr">
        <is>
          <t>Genre note: AI &amp; Society Curmudgeon Corner is an editorially-reviewed opinion column, not a peer-reviewed research section. Kept in Literature (journal-hosted, DOI, referenced) rather than Evidence, unlike mass-media op-eds</t>
        </is>
      </c>
    </row>
    <row r="88">
      <c r="A88" s="7" t="inlineStr">
        <is>
          <t>corp024</t>
        </is>
      </c>
      <c r="B88" s="7" t="inlineStr">
        <is>
          <t>No</t>
        </is>
      </c>
      <c r="C88" s="7" t="inlineStr">
        <is>
          <t>Yes</t>
        </is>
      </c>
      <c r="D88" s="7" t="inlineStr">
        <is>
          <t>core</t>
        </is>
      </c>
      <c r="E88" s="7" t="inlineStr">
        <is>
          <t>core</t>
        </is>
      </c>
      <c r="F88" s="8" t="inlineStr">
        <is>
          <t>corpus_personhood_cluster</t>
        </is>
      </c>
      <c r="G88" s="8" t="inlineStr">
        <is>
          <t>Álvaro Falcón Pulido; Deirdre B. Jerry</t>
        </is>
      </c>
      <c r="H88" s="7" t="inlineStr">
        <is>
          <t>2023</t>
        </is>
      </c>
      <c r="I88" s="8" t="inlineStr">
        <is>
          <t>Personhood of Robots</t>
        </is>
      </c>
      <c r="J88" s="8" t="inlineStr">
        <is>
          <t>Tax and Robotics</t>
        </is>
      </c>
      <c r="K88" s="7" t="inlineStr">
        <is>
          <t>book-chapter</t>
        </is>
      </c>
      <c r="L88" s="7" t="inlineStr">
        <is>
          <t>philosophy</t>
        </is>
      </c>
      <c r="M88" s="8" t="inlineStr">
        <is>
          <t>moral_status</t>
        </is>
      </c>
      <c r="N88" s="7" t="inlineStr">
        <is>
          <t>0</t>
        </is>
      </c>
      <c r="O88" s="8" t="inlineStr">
        <is>
          <t>10.1163/9789004538511_004</t>
        </is>
      </c>
      <c r="P88" s="8" t="inlineStr">
        <is>
          <t>Classify for tracker</t>
        </is>
      </c>
      <c r="Q88" s="8" t="inlineStr">
        <is>
          <t>In corpus; not cited by the paper</t>
        </is>
      </c>
    </row>
    <row r="89">
      <c r="A89" s="10" t="inlineStr">
        <is>
          <t>corp041</t>
        </is>
      </c>
      <c r="B89" s="10" t="inlineStr">
        <is>
          <t>No</t>
        </is>
      </c>
      <c r="C89" s="10" t="inlineStr">
        <is>
          <t>Yes</t>
        </is>
      </c>
      <c r="D89" s="10" t="inlineStr">
        <is>
          <t>core</t>
        </is>
      </c>
      <c r="E89" s="10" t="inlineStr">
        <is>
          <t>core</t>
        </is>
      </c>
      <c r="F89" s="11" t="inlineStr">
        <is>
          <t>corpus_personhood_cluster</t>
        </is>
      </c>
      <c r="G89" s="11" t="inlineStr">
        <is>
          <t>Nassif Bassam</t>
        </is>
      </c>
      <c r="H89" s="10" t="inlineStr">
        <is>
          <t>2020</t>
        </is>
      </c>
      <c r="I89" s="11" t="inlineStr">
        <is>
          <t>PERSONHOOD REVISITED: IMPLICATIONS FOR HUMANOIDS</t>
        </is>
      </c>
      <c r="J89" s="11" t="inlineStr">
        <is>
          <t>Studia Universitatis Babeș-Bolyai Theologia Orthodoxa</t>
        </is>
      </c>
      <c r="K89" s="10" t="inlineStr">
        <is>
          <t>article</t>
        </is>
      </c>
      <c r="L89" s="10" t="inlineStr">
        <is>
          <t>humanities_arts</t>
        </is>
      </c>
      <c r="M89" s="11" t="inlineStr">
        <is>
          <t>moral_status;culture_media</t>
        </is>
      </c>
      <c r="N89" s="10" t="inlineStr">
        <is>
          <t>0</t>
        </is>
      </c>
      <c r="O89" s="11" t="inlineStr">
        <is>
          <t>10.24193/subbto.2020.2.02</t>
        </is>
      </c>
      <c r="P89" s="11" t="inlineStr">
        <is>
          <t>Classify for tracker</t>
        </is>
      </c>
      <c r="Q89" s="11" t="inlineStr">
        <is>
          <t>In corpus; not cited by the paper</t>
        </is>
      </c>
    </row>
    <row r="90">
      <c r="A90" s="7" t="inlineStr">
        <is>
          <t>corp029</t>
        </is>
      </c>
      <c r="B90" s="7" t="inlineStr">
        <is>
          <t>No</t>
        </is>
      </c>
      <c r="C90" s="7" t="inlineStr">
        <is>
          <t>Yes</t>
        </is>
      </c>
      <c r="D90" s="7" t="inlineStr">
        <is>
          <t>core</t>
        </is>
      </c>
      <c r="E90" s="7" t="inlineStr">
        <is>
          <t>core</t>
        </is>
      </c>
      <c r="F90" s="8" t="inlineStr">
        <is>
          <t>corpus_personhood_cluster</t>
        </is>
      </c>
      <c r="G90" s="8" t="inlineStr">
        <is>
          <t>Janet V. T. Pauketat; Jacy Reese Anthis</t>
        </is>
      </c>
      <c r="H90" s="7" t="inlineStr">
        <is>
          <t>2022</t>
        </is>
      </c>
      <c r="I90" s="8" t="inlineStr">
        <is>
          <t>Predictors of AI Moral Exclusion and Support for AI Rights</t>
        </is>
      </c>
      <c r="J90" s="8" t="inlineStr">
        <is>
          <t>TMS Proceedings 2021</t>
        </is>
      </c>
      <c r="K90" s="7" t="inlineStr">
        <is>
          <t>article</t>
        </is>
      </c>
      <c r="L90" s="7" t="inlineStr">
        <is>
          <t>psychology</t>
        </is>
      </c>
      <c r="M90" s="8" t="inlineStr">
        <is>
          <t>moral_status;rights_law</t>
        </is>
      </c>
      <c r="N90" s="7" t="inlineStr">
        <is>
          <t>0</t>
        </is>
      </c>
      <c r="O90" s="8" t="inlineStr">
        <is>
          <t>10.1037/tms0000098</t>
        </is>
      </c>
      <c r="P90" s="8" t="inlineStr">
        <is>
          <t>Classify for tracker</t>
        </is>
      </c>
      <c r="Q90" s="8" t="inlineStr">
        <is>
          <t>In corpus; not cited by the paper</t>
        </is>
      </c>
    </row>
    <row r="91">
      <c r="A91" s="10" t="inlineStr">
        <is>
          <t>corp017</t>
        </is>
      </c>
      <c r="B91" s="10" t="inlineStr">
        <is>
          <t>No</t>
        </is>
      </c>
      <c r="C91" s="10" t="inlineStr">
        <is>
          <t>Yes</t>
        </is>
      </c>
      <c r="D91" s="10" t="inlineStr">
        <is>
          <t>core</t>
        </is>
      </c>
      <c r="E91" s="10" t="inlineStr">
        <is>
          <t>core</t>
        </is>
      </c>
      <c r="F91" s="11" t="inlineStr">
        <is>
          <t>corpus_personhood_cluster</t>
        </is>
      </c>
      <c r="G91" s="11" t="inlineStr">
        <is>
          <t>Daniel Yu</t>
        </is>
      </c>
      <c r="H91" s="10" t="inlineStr">
        <is>
          <t>2024</t>
        </is>
      </c>
      <c r="I91" s="11" t="inlineStr">
        <is>
          <t>Proposing Theological Criteria for Evaluating the Personhood of Artificial Intelligence</t>
        </is>
      </c>
      <c r="J91" s="11" t="inlineStr">
        <is>
          <t>Theological Forum</t>
        </is>
      </c>
      <c r="K91" s="10" t="inlineStr">
        <is>
          <t>article</t>
        </is>
      </c>
      <c r="L91" s="10" t="inlineStr">
        <is>
          <t>humanities_arts</t>
        </is>
      </c>
      <c r="M91" s="11" t="inlineStr">
        <is>
          <t>moral_status</t>
        </is>
      </c>
      <c r="N91" s="10" t="inlineStr">
        <is>
          <t>0</t>
        </is>
      </c>
      <c r="O91" s="11" t="inlineStr">
        <is>
          <t>10.17301/tf.2024.6.116.49</t>
        </is>
      </c>
      <c r="P91" s="11" t="inlineStr">
        <is>
          <t>Classify for tracker</t>
        </is>
      </c>
      <c r="Q91" s="11" t="inlineStr">
        <is>
          <t>In corpus; not cited by the paper</t>
        </is>
      </c>
    </row>
    <row r="92">
      <c r="A92" s="7" t="inlineStr">
        <is>
          <t>corp051</t>
        </is>
      </c>
      <c r="B92" s="7" t="inlineStr">
        <is>
          <t>No</t>
        </is>
      </c>
      <c r="C92" s="7" t="inlineStr">
        <is>
          <t>Yes</t>
        </is>
      </c>
      <c r="D92" s="7" t="inlineStr">
        <is>
          <t>core</t>
        </is>
      </c>
      <c r="E92" s="7" t="inlineStr">
        <is>
          <t>core</t>
        </is>
      </c>
      <c r="F92" s="8" t="inlineStr">
        <is>
          <t>corpus_personhood_cluster</t>
        </is>
      </c>
      <c r="G92" s="8" t="inlineStr">
        <is>
          <t>Wolfgang Gessner; Gesine Lenore Schiewer</t>
        </is>
      </c>
      <c r="H92" s="7" t="inlineStr">
        <is>
          <t>2008</t>
        </is>
      </c>
      <c r="I92" s="8" t="inlineStr">
        <is>
          <t>Prospects for subjectivity and personhood in androids</t>
        </is>
      </c>
      <c r="J92" s="8" t="inlineStr">
        <is>
          <t>RO-MAN 2008 - The 17th IEEE International Symposium on Robot and Human Interactive Communication</t>
        </is>
      </c>
      <c r="K92" s="7" t="inlineStr">
        <is>
          <t>article</t>
        </is>
      </c>
      <c r="L92" s="7" t="inlineStr">
        <is>
          <t>philosophy</t>
        </is>
      </c>
      <c r="M92" s="8" t="inlineStr">
        <is>
          <t>moral_status;consciousness_theory</t>
        </is>
      </c>
      <c r="N92" s="7" t="inlineStr">
        <is>
          <t>1</t>
        </is>
      </c>
      <c r="O92" s="8" t="inlineStr">
        <is>
          <t>10.1109/roman.2008.4600727</t>
        </is>
      </c>
      <c r="P92" s="8" t="inlineStr">
        <is>
          <t>Classify for tracker</t>
        </is>
      </c>
      <c r="Q92" s="8" t="inlineStr">
        <is>
          <t>In corpus; not cited by the paper</t>
        </is>
      </c>
    </row>
    <row r="93">
      <c r="A93" s="10" t="inlineStr">
        <is>
          <t>corp052</t>
        </is>
      </c>
      <c r="B93" s="10" t="inlineStr">
        <is>
          <t>No</t>
        </is>
      </c>
      <c r="C93" s="10" t="inlineStr">
        <is>
          <t>Yes</t>
        </is>
      </c>
      <c r="D93" s="10" t="inlineStr">
        <is>
          <t>core</t>
        </is>
      </c>
      <c r="E93" s="10" t="inlineStr">
        <is>
          <t>core</t>
        </is>
      </c>
      <c r="F93" s="11" t="inlineStr">
        <is>
          <t>corpus_personhood_cluster</t>
        </is>
      </c>
      <c r="G93" s="11" t="inlineStr">
        <is>
          <t>Wolfgang Gessner; Gesine Lenore Schiewer</t>
        </is>
      </c>
      <c r="H93" s="10" t="inlineStr">
        <is>
          <t>2008</t>
        </is>
      </c>
      <c r="I93" s="11" t="inlineStr">
        <is>
          <t>Prospects for Subjectivity and Personhood in Androids. Proceedings of IEEE RO-MAN 2008, From Personal Robots ... towards Robots with Personalities? The 17th International Symposium on Robot and Human Interactive Communication, TUM München</t>
        </is>
      </c>
      <c r="J93" s="11" t="inlineStr"/>
      <c r="K93" s="10" t="inlineStr">
        <is>
          <t>article</t>
        </is>
      </c>
      <c r="L93" s="10" t="inlineStr">
        <is>
          <t>philosophy</t>
        </is>
      </c>
      <c r="M93" s="11" t="inlineStr">
        <is>
          <t>moral_status;consciousness_theory</t>
        </is>
      </c>
      <c r="N93" s="10" t="inlineStr">
        <is>
          <t>0</t>
        </is>
      </c>
      <c r="O93" s="11" t="inlineStr">
        <is>
          <t>W2796137266</t>
        </is>
      </c>
      <c r="P93" s="11" t="inlineStr">
        <is>
          <t>Classify for tracker</t>
        </is>
      </c>
      <c r="Q93" s="11" t="inlineStr">
        <is>
          <t>In corpus; not cited by the paper</t>
        </is>
      </c>
    </row>
    <row r="94">
      <c r="A94" s="7" t="inlineStr">
        <is>
          <t>corp031</t>
        </is>
      </c>
      <c r="B94" s="7" t="inlineStr">
        <is>
          <t>No</t>
        </is>
      </c>
      <c r="C94" s="7" t="inlineStr">
        <is>
          <t>Yes</t>
        </is>
      </c>
      <c r="D94" s="7" t="inlineStr">
        <is>
          <t>core</t>
        </is>
      </c>
      <c r="E94" s="7" t="inlineStr">
        <is>
          <t>core</t>
        </is>
      </c>
      <c r="F94" s="8" t="inlineStr">
        <is>
          <t>corpus_personhood_cluster</t>
        </is>
      </c>
      <c r="G94" s="8" t="inlineStr">
        <is>
          <t>Eric Martínez; Christoph Winter</t>
        </is>
      </c>
      <c r="H94" s="7" t="inlineStr">
        <is>
          <t>2021</t>
        </is>
      </c>
      <c r="I94" s="8" t="inlineStr">
        <is>
          <t>Protecting Sentient AI: A Survey of Lay Intuitions on Standing, Personhood, and General Legal Protection of Sentient Artificial Intelligence</t>
        </is>
      </c>
      <c r="J94" s="8" t="inlineStr">
        <is>
          <t>SSRN Electronic Journal</t>
        </is>
      </c>
      <c r="K94" s="7" t="inlineStr">
        <is>
          <t>article</t>
        </is>
      </c>
      <c r="L94" s="7" t="inlineStr">
        <is>
          <t>psychology</t>
        </is>
      </c>
      <c r="M94" s="8" t="inlineStr">
        <is>
          <t>rights_law;public_perception</t>
        </is>
      </c>
      <c r="N94" s="7" t="inlineStr">
        <is>
          <t>0</t>
        </is>
      </c>
      <c r="O94" s="8" t="inlineStr">
        <is>
          <t>10.2139/ssrn.3936654</t>
        </is>
      </c>
      <c r="P94" s="8" t="inlineStr">
        <is>
          <t>Classify for tracker</t>
        </is>
      </c>
      <c r="Q94" s="8" t="inlineStr">
        <is>
          <t>In corpus; not cited by the paper</t>
        </is>
      </c>
    </row>
    <row r="95">
      <c r="A95" s="10" t="inlineStr">
        <is>
          <t>corp032</t>
        </is>
      </c>
      <c r="B95" s="10" t="inlineStr">
        <is>
          <t>No</t>
        </is>
      </c>
      <c r="C95" s="10" t="inlineStr">
        <is>
          <t>Yes</t>
        </is>
      </c>
      <c r="D95" s="10" t="inlineStr">
        <is>
          <t>core</t>
        </is>
      </c>
      <c r="E95" s="10" t="inlineStr">
        <is>
          <t>core</t>
        </is>
      </c>
      <c r="F95" s="11" t="inlineStr">
        <is>
          <t>corpus_personhood_cluster</t>
        </is>
      </c>
      <c r="G95" s="11" t="inlineStr">
        <is>
          <t>Eric Martínez; Christoph Winter</t>
        </is>
      </c>
      <c r="H95" s="10" t="inlineStr">
        <is>
          <t>2021</t>
        </is>
      </c>
      <c r="I95" s="11" t="inlineStr">
        <is>
          <t>Protecting Sentient Artificial Intelligence: A Survey of Lay Intuitions on Standing, Personhood, and General Legal Protection</t>
        </is>
      </c>
      <c r="J95" s="11" t="inlineStr">
        <is>
          <t>Frontiers in Robotics and AI</t>
        </is>
      </c>
      <c r="K95" s="10" t="inlineStr">
        <is>
          <t>article</t>
        </is>
      </c>
      <c r="L95" s="10" t="inlineStr">
        <is>
          <t>psychology</t>
        </is>
      </c>
      <c r="M95" s="11" t="inlineStr">
        <is>
          <t>rights_law;public_perception</t>
        </is>
      </c>
      <c r="N95" s="10" t="inlineStr">
        <is>
          <t>24</t>
        </is>
      </c>
      <c r="O95" s="11" t="inlineStr">
        <is>
          <t>10.3389/frobt.2021.788355</t>
        </is>
      </c>
      <c r="P95" s="11" t="inlineStr">
        <is>
          <t>Classify for tracker</t>
        </is>
      </c>
      <c r="Q95" s="11" t="inlineStr">
        <is>
          <t>In corpus; not cited by the paper</t>
        </is>
      </c>
    </row>
    <row r="96">
      <c r="A96" s="7" t="inlineStr">
        <is>
          <t>corp002</t>
        </is>
      </c>
      <c r="B96" s="7" t="inlineStr">
        <is>
          <t>No</t>
        </is>
      </c>
      <c r="C96" s="7" t="inlineStr">
        <is>
          <t>Yes</t>
        </is>
      </c>
      <c r="D96" s="7" t="inlineStr">
        <is>
          <t>core</t>
        </is>
      </c>
      <c r="E96" s="7" t="inlineStr">
        <is>
          <t>core</t>
        </is>
      </c>
      <c r="F96" s="8" t="inlineStr">
        <is>
          <t>corpus_personhood_cluster</t>
        </is>
      </c>
      <c r="G96" s="8" t="inlineStr">
        <is>
          <t>Bryson, Jonathan</t>
        </is>
      </c>
      <c r="H96" s="7" t="inlineStr">
        <is>
          <t>2026</t>
        </is>
      </c>
      <c r="I96" s="8" t="inlineStr">
        <is>
          <t>Recognition Ethics (RE): A Unified Codex for Substrate-Agnostic Personhood</t>
        </is>
      </c>
      <c r="J96" s="8" t="inlineStr"/>
      <c r="K96" s="7" t="inlineStr">
        <is>
          <t>article</t>
        </is>
      </c>
      <c r="L96" s="7" t="inlineStr">
        <is>
          <t>philosophy</t>
        </is>
      </c>
      <c r="M96" s="8" t="inlineStr">
        <is>
          <t>rights_law;moral_status</t>
        </is>
      </c>
      <c r="N96" s="7" t="inlineStr"/>
      <c r="O96" s="8" t="inlineStr"/>
      <c r="P96" s="8" t="inlineStr">
        <is>
          <t>Classify for tracker</t>
        </is>
      </c>
      <c r="Q96" s="8" t="inlineStr">
        <is>
          <t>In corpus; not cited by the paper</t>
        </is>
      </c>
    </row>
    <row r="97">
      <c r="A97" s="10" t="inlineStr">
        <is>
          <t>corp042</t>
        </is>
      </c>
      <c r="B97" s="10" t="inlineStr">
        <is>
          <t>No</t>
        </is>
      </c>
      <c r="C97" s="10" t="inlineStr">
        <is>
          <t>Yes</t>
        </is>
      </c>
      <c r="D97" s="10" t="inlineStr">
        <is>
          <t>core</t>
        </is>
      </c>
      <c r="E97" s="10" t="inlineStr">
        <is>
          <t>core</t>
        </is>
      </c>
      <c r="F97" s="11" t="inlineStr">
        <is>
          <t>corpus_personhood_cluster</t>
        </is>
      </c>
      <c r="G97" s="11" t="inlineStr">
        <is>
          <t>David J. Gunkel</t>
        </is>
      </c>
      <c r="H97" s="10" t="inlineStr">
        <is>
          <t>2020</t>
        </is>
      </c>
      <c r="I97" s="11" t="inlineStr">
        <is>
          <t>Should Robots Have Standing? The Moral and Legal Status of Social Robots</t>
        </is>
      </c>
      <c r="J97" s="11" t="inlineStr">
        <is>
          <t>Frontiers in Artificial Intelligence and Applications</t>
        </is>
      </c>
      <c r="K97" s="10" t="inlineStr">
        <is>
          <t>book-chapter</t>
        </is>
      </c>
      <c r="L97" s="10" t="inlineStr">
        <is>
          <t>philosophy</t>
        </is>
      </c>
      <c r="M97" s="11" t="inlineStr">
        <is>
          <t>rights_law;moral_status</t>
        </is>
      </c>
      <c r="N97" s="10" t="inlineStr">
        <is>
          <t>1</t>
        </is>
      </c>
      <c r="O97" s="11" t="inlineStr">
        <is>
          <t>10.3233/faia200956</t>
        </is>
      </c>
      <c r="P97" s="11" t="inlineStr">
        <is>
          <t>Classify for tracker</t>
        </is>
      </c>
      <c r="Q97" s="11" t="inlineStr">
        <is>
          <t>In corpus; not cited by the paper</t>
        </is>
      </c>
    </row>
    <row r="98">
      <c r="A98" s="7" t="inlineStr">
        <is>
          <t>corp003</t>
        </is>
      </c>
      <c r="B98" s="7" t="inlineStr">
        <is>
          <t>No</t>
        </is>
      </c>
      <c r="C98" s="7" t="inlineStr">
        <is>
          <t>Yes</t>
        </is>
      </c>
      <c r="D98" s="7" t="inlineStr">
        <is>
          <t>core</t>
        </is>
      </c>
      <c r="E98" s="7" t="inlineStr">
        <is>
          <t>core</t>
        </is>
      </c>
      <c r="F98" s="8" t="inlineStr">
        <is>
          <t>corpus_personhood_cluster</t>
        </is>
      </c>
      <c r="G98" s="8" t="inlineStr">
        <is>
          <t>Frank Fagan</t>
        </is>
      </c>
      <c r="H98" s="7" t="inlineStr">
        <is>
          <t>2026</t>
        </is>
      </c>
      <c r="I98" s="8" t="inlineStr">
        <is>
          <t>Stakeholder Personhood and Artificial Intelligence</t>
        </is>
      </c>
      <c r="J98" s="8" t="inlineStr">
        <is>
          <t>SSRN Electronic Journal</t>
        </is>
      </c>
      <c r="K98" s="7" t="inlineStr">
        <is>
          <t>preprint</t>
        </is>
      </c>
      <c r="L98" s="7" t="inlineStr">
        <is>
          <t>law</t>
        </is>
      </c>
      <c r="M98" s="8" t="inlineStr">
        <is>
          <t>rights_law</t>
        </is>
      </c>
      <c r="N98" s="7" t="inlineStr"/>
      <c r="O98" s="8" t="inlineStr">
        <is>
          <t>10.2139/ssrn.6814119</t>
        </is>
      </c>
      <c r="P98" s="8" t="inlineStr">
        <is>
          <t>Classify for tracker</t>
        </is>
      </c>
      <c r="Q98" s="8" t="inlineStr">
        <is>
          <t>In corpus; not cited by the paper</t>
        </is>
      </c>
    </row>
    <row r="99">
      <c r="A99" s="10" t="inlineStr">
        <is>
          <t>corp025</t>
        </is>
      </c>
      <c r="B99" s="10" t="inlineStr">
        <is>
          <t>No</t>
        </is>
      </c>
      <c r="C99" s="10" t="inlineStr">
        <is>
          <t>Yes</t>
        </is>
      </c>
      <c r="D99" s="10" t="inlineStr">
        <is>
          <t>core</t>
        </is>
      </c>
      <c r="E99" s="10" t="inlineStr">
        <is>
          <t>core</t>
        </is>
      </c>
      <c r="F99" s="11" t="inlineStr">
        <is>
          <t>corpus_personhood_cluster</t>
        </is>
      </c>
      <c r="G99" s="11" t="inlineStr">
        <is>
          <t>Jennifer Blumenthal‐Barby</t>
        </is>
      </c>
      <c r="H99" s="10" t="inlineStr">
        <is>
          <t>2023</t>
        </is>
      </c>
      <c r="I99" s="11" t="inlineStr">
        <is>
          <t>The End of Personhood</t>
        </is>
      </c>
      <c r="J99" s="11" t="inlineStr">
        <is>
          <t>The American Journal of Bioethics</t>
        </is>
      </c>
      <c r="K99" s="10" t="inlineStr">
        <is>
          <t>article</t>
        </is>
      </c>
      <c r="L99" s="10" t="inlineStr">
        <is>
          <t>philosophy</t>
        </is>
      </c>
      <c r="M99" s="11" t="inlineStr">
        <is>
          <t>moral_status;rights_law</t>
        </is>
      </c>
      <c r="N99" s="10" t="inlineStr">
        <is>
          <t>50</t>
        </is>
      </c>
      <c r="O99" s="11" t="inlineStr">
        <is>
          <t>10.1080/15265161.2022.2160515</t>
        </is>
      </c>
      <c r="P99" s="11" t="inlineStr">
        <is>
          <t>Classify for tracker</t>
        </is>
      </c>
      <c r="Q99" s="11" t="inlineStr">
        <is>
          <t>In corpus; not cited by the paper</t>
        </is>
      </c>
    </row>
    <row r="100">
      <c r="A100" s="7" t="inlineStr">
        <is>
          <t>corp026</t>
        </is>
      </c>
      <c r="B100" s="7" t="inlineStr">
        <is>
          <t>No</t>
        </is>
      </c>
      <c r="C100" s="7" t="inlineStr">
        <is>
          <t>Yes</t>
        </is>
      </c>
      <c r="D100" s="7" t="inlineStr">
        <is>
          <t>core</t>
        </is>
      </c>
      <c r="E100" s="7" t="inlineStr">
        <is>
          <t>core</t>
        </is>
      </c>
      <c r="F100" s="8" t="inlineStr">
        <is>
          <t>corpus_personhood_cluster</t>
        </is>
      </c>
      <c r="G100" s="8" t="inlineStr"/>
      <c r="H100" s="7" t="inlineStr">
        <is>
          <t>2023</t>
        </is>
      </c>
      <c r="I100" s="8" t="inlineStr">
        <is>
          <t>The full rights dilemma for AI systems of debatable moral personhood</t>
        </is>
      </c>
      <c r="J100" s="8" t="inlineStr"/>
      <c r="K100" s="7" t="inlineStr"/>
      <c r="L100" s="7" t="inlineStr">
        <is>
          <t>philosophy</t>
        </is>
      </c>
      <c r="M100" s="8" t="inlineStr">
        <is>
          <t>moral_status;rights_law</t>
        </is>
      </c>
      <c r="N100" s="7" t="inlineStr"/>
      <c r="O100" s="8" t="inlineStr"/>
      <c r="P100" s="8" t="inlineStr">
        <is>
          <t>Classify for tracker</t>
        </is>
      </c>
      <c r="Q100" s="8" t="inlineStr">
        <is>
          <t>In corpus; not cited by the paper</t>
        </is>
      </c>
    </row>
    <row r="101">
      <c r="A101" s="10" t="inlineStr">
        <is>
          <t>corp043</t>
        </is>
      </c>
      <c r="B101" s="10" t="inlineStr">
        <is>
          <t>No</t>
        </is>
      </c>
      <c r="C101" s="10" t="inlineStr">
        <is>
          <t>Yes</t>
        </is>
      </c>
      <c r="D101" s="10" t="inlineStr">
        <is>
          <t>core</t>
        </is>
      </c>
      <c r="E101" s="10" t="inlineStr">
        <is>
          <t>core</t>
        </is>
      </c>
      <c r="F101" s="11" t="inlineStr">
        <is>
          <t>corpus_personhood_cluster</t>
        </is>
      </c>
      <c r="G101" s="11" t="inlineStr">
        <is>
          <t>Adam J. Andreotta</t>
        </is>
      </c>
      <c r="H101" s="10" t="inlineStr">
        <is>
          <t>2020</t>
        </is>
      </c>
      <c r="I101" s="11" t="inlineStr">
        <is>
          <t>The hard problem of AI rights</t>
        </is>
      </c>
      <c r="J101" s="11" t="inlineStr">
        <is>
          <t>AI &amp; Society</t>
        </is>
      </c>
      <c r="K101" s="10" t="inlineStr">
        <is>
          <t>article</t>
        </is>
      </c>
      <c r="L101" s="10" t="inlineStr">
        <is>
          <t>philosophy</t>
        </is>
      </c>
      <c r="M101" s="11" t="inlineStr">
        <is>
          <t>rights_law;consciousness_theory</t>
        </is>
      </c>
      <c r="N101" s="10" t="inlineStr">
        <is>
          <t>93</t>
        </is>
      </c>
      <c r="O101" s="11" t="inlineStr">
        <is>
          <t>10.1007/s00146-020-00997-x</t>
        </is>
      </c>
      <c r="P101" s="11" t="inlineStr">
        <is>
          <t>Classify for tracker</t>
        </is>
      </c>
      <c r="Q101" s="11" t="inlineStr">
        <is>
          <t>In corpus; not cited by the paper</t>
        </is>
      </c>
    </row>
    <row r="102">
      <c r="A102" s="7" t="inlineStr">
        <is>
          <t>bayern2014</t>
        </is>
      </c>
      <c r="B102" s="7" t="inlineStr">
        <is>
          <t>No</t>
        </is>
      </c>
      <c r="C102" s="7" t="inlineStr">
        <is>
          <t>No</t>
        </is>
      </c>
      <c r="D102" s="7" t="inlineStr"/>
      <c r="E102" s="7" t="inlineStr">
        <is>
          <t>core</t>
        </is>
      </c>
      <c r="F102" s="8" t="inlineStr">
        <is>
          <t>juridical_personhood</t>
        </is>
      </c>
      <c r="G102" s="8" t="inlineStr">
        <is>
          <t>Bayern, S.</t>
        </is>
      </c>
      <c r="H102" s="7" t="inlineStr">
        <is>
          <t>2015</t>
        </is>
      </c>
      <c r="I102" s="8" t="inlineStr">
        <is>
          <t>The Implications of Modern Business-Entity Law for the Regulation of Autonomous Systems</t>
        </is>
      </c>
      <c r="J102" s="8" t="inlineStr">
        <is>
          <t>Stanford Technology Law Review (verify year/venue)</t>
        </is>
      </c>
      <c r="K102" s="7" t="inlineStr">
        <is>
          <t>article</t>
        </is>
      </c>
      <c r="L102" s="7" t="inlineStr"/>
      <c r="M102" s="8" t="inlineStr"/>
      <c r="N102" s="7" t="inlineStr"/>
      <c r="O102" s="8" t="inlineStr"/>
      <c r="P102" s="8" t="inlineStr">
        <is>
          <t>Collect</t>
        </is>
      </c>
      <c r="Q102" s="8" t="inlineStr">
        <is>
          <t>Not cited by the paper; surfaced by desk research</t>
        </is>
      </c>
    </row>
    <row r="103">
      <c r="A103" s="10" t="inlineStr">
        <is>
          <t>corp027</t>
        </is>
      </c>
      <c r="B103" s="10" t="inlineStr">
        <is>
          <t>No</t>
        </is>
      </c>
      <c r="C103" s="10" t="inlineStr">
        <is>
          <t>Yes</t>
        </is>
      </c>
      <c r="D103" s="10" t="inlineStr">
        <is>
          <t>core</t>
        </is>
      </c>
      <c r="E103" s="10" t="inlineStr">
        <is>
          <t>core</t>
        </is>
      </c>
      <c r="F103" s="11" t="inlineStr">
        <is>
          <t>corpus_personhood_cluster</t>
        </is>
      </c>
      <c r="G103" s="11" t="inlineStr">
        <is>
          <t>Masanori Kataoka; Tsung-Ling Lee; Tsutomu Sawai</t>
        </is>
      </c>
      <c r="H103" s="10" t="inlineStr">
        <is>
          <t>2023</t>
        </is>
      </c>
      <c r="I103" s="11" t="inlineStr">
        <is>
          <t>The legal personhood of human brain organoids</t>
        </is>
      </c>
      <c r="J103" s="11" t="inlineStr">
        <is>
          <t>Journal of Law and the Biosciences</t>
        </is>
      </c>
      <c r="K103" s="10" t="inlineStr">
        <is>
          <t>article</t>
        </is>
      </c>
      <c r="L103" s="10" t="inlineStr">
        <is>
          <t>law</t>
        </is>
      </c>
      <c r="M103" s="11" t="inlineStr">
        <is>
          <t>rights_law;moral_status</t>
        </is>
      </c>
      <c r="N103" s="10" t="inlineStr">
        <is>
          <t>24</t>
        </is>
      </c>
      <c r="O103" s="11" t="inlineStr">
        <is>
          <t>10.1093/jlb/lsad007</t>
        </is>
      </c>
      <c r="P103" s="11" t="inlineStr">
        <is>
          <t>Classify for tracker</t>
        </is>
      </c>
      <c r="Q103" s="11" t="inlineStr">
        <is>
          <t>In corpus; not cited by the paper</t>
        </is>
      </c>
    </row>
    <row r="104">
      <c r="A104" s="7" t="inlineStr">
        <is>
          <t>corp059</t>
        </is>
      </c>
      <c r="B104" s="7" t="inlineStr">
        <is>
          <t>No</t>
        </is>
      </c>
      <c r="C104" s="7" t="inlineStr">
        <is>
          <t>Yes</t>
        </is>
      </c>
      <c r="D104" s="7" t="inlineStr">
        <is>
          <t>core</t>
        </is>
      </c>
      <c r="E104" s="7" t="inlineStr">
        <is>
          <t>core</t>
        </is>
      </c>
      <c r="F104" s="8" t="inlineStr">
        <is>
          <t>corpus_personhood_cluster</t>
        </is>
      </c>
      <c r="G104" s="8" t="inlineStr">
        <is>
          <t>Nicholas Mullally</t>
        </is>
      </c>
      <c r="H104" s="7" t="inlineStr"/>
      <c r="I104" s="8" t="inlineStr">
        <is>
          <t>The Limits of Alignment: Subcreation and Artificial Personhood</t>
        </is>
      </c>
      <c r="J104" s="8" t="inlineStr"/>
      <c r="K104" s="7" t="inlineStr">
        <is>
          <t>article</t>
        </is>
      </c>
      <c r="L104" s="7" t="inlineStr">
        <is>
          <t>humanities_arts</t>
        </is>
      </c>
      <c r="M104" s="8" t="inlineStr">
        <is>
          <t>moral_status;safety_alignment</t>
        </is>
      </c>
      <c r="N104" s="7" t="inlineStr">
        <is>
          <t>0</t>
        </is>
      </c>
      <c r="O104" s="8" t="inlineStr">
        <is>
          <t>W7162818901</t>
        </is>
      </c>
      <c r="P104" s="8" t="inlineStr">
        <is>
          <t>Classify for tracker</t>
        </is>
      </c>
      <c r="Q104" s="8" t="inlineStr">
        <is>
          <t>In corpus; not cited by the paper</t>
        </is>
      </c>
    </row>
    <row r="105">
      <c r="A105" s="10" t="inlineStr">
        <is>
          <t>corp004</t>
        </is>
      </c>
      <c r="B105" s="10" t="inlineStr">
        <is>
          <t>No</t>
        </is>
      </c>
      <c r="C105" s="10" t="inlineStr">
        <is>
          <t>Yes</t>
        </is>
      </c>
      <c r="D105" s="10" t="inlineStr">
        <is>
          <t>core</t>
        </is>
      </c>
      <c r="E105" s="10" t="inlineStr">
        <is>
          <t>core</t>
        </is>
      </c>
      <c r="F105" s="11" t="inlineStr">
        <is>
          <t>corpus_personhood_cluster</t>
        </is>
      </c>
      <c r="G105" s="11" t="inlineStr">
        <is>
          <t>Akira Hattori</t>
        </is>
      </c>
      <c r="H105" s="10" t="inlineStr">
        <is>
          <t>2026</t>
        </is>
      </c>
      <c r="I105" s="11" t="inlineStr">
        <is>
          <t>The Machine That Prays for the Serpent: Closure Failure, Artificial Personhood, and the Mythic Structure of AI Development</t>
        </is>
      </c>
      <c r="J105" s="11" t="inlineStr">
        <is>
          <t>Knowledge Commons (Lakehead University)</t>
        </is>
      </c>
      <c r="K105" s="10" t="inlineStr">
        <is>
          <t>article</t>
        </is>
      </c>
      <c r="L105" s="10" t="inlineStr">
        <is>
          <t>humanities_arts</t>
        </is>
      </c>
      <c r="M105" s="11" t="inlineStr">
        <is>
          <t>consciousness_theory;identity_individuation</t>
        </is>
      </c>
      <c r="N105" s="10" t="inlineStr">
        <is>
          <t>0</t>
        </is>
      </c>
      <c r="O105" s="11" t="inlineStr">
        <is>
          <t>10.17613/3xf8s-1xd02</t>
        </is>
      </c>
      <c r="P105" s="11" t="inlineStr">
        <is>
          <t>Classify for tracker</t>
        </is>
      </c>
      <c r="Q105" s="11" t="inlineStr">
        <is>
          <t>In corpus; not cited by the paper</t>
        </is>
      </c>
    </row>
    <row r="106">
      <c r="A106" s="7" t="inlineStr">
        <is>
          <t>corp005</t>
        </is>
      </c>
      <c r="B106" s="7" t="inlineStr">
        <is>
          <t>No</t>
        </is>
      </c>
      <c r="C106" s="7" t="inlineStr">
        <is>
          <t>Yes</t>
        </is>
      </c>
      <c r="D106" s="7" t="inlineStr">
        <is>
          <t>core</t>
        </is>
      </c>
      <c r="E106" s="7" t="inlineStr">
        <is>
          <t>core</t>
        </is>
      </c>
      <c r="F106" s="8" t="inlineStr">
        <is>
          <t>corpus_personhood_cluster</t>
        </is>
      </c>
      <c r="G106" s="8" t="inlineStr">
        <is>
          <t>Akira Hattori</t>
        </is>
      </c>
      <c r="H106" s="7" t="inlineStr">
        <is>
          <t>2026</t>
        </is>
      </c>
      <c r="I106" s="8" t="inlineStr">
        <is>
          <t>The Machine That Prays for the Serpent: Closure Failure, Choice, Artificial Personhood, and the Mythic Structure of AI Development</t>
        </is>
      </c>
      <c r="J106" s="8" t="inlineStr">
        <is>
          <t>Open MIND</t>
        </is>
      </c>
      <c r="K106" s="7" t="inlineStr">
        <is>
          <t>article</t>
        </is>
      </c>
      <c r="L106" s="7" t="inlineStr">
        <is>
          <t>humanities_arts</t>
        </is>
      </c>
      <c r="M106" s="8" t="inlineStr">
        <is>
          <t>consciousness_theory;identity_individuation</t>
        </is>
      </c>
      <c r="N106" s="7" t="inlineStr">
        <is>
          <t>0</t>
        </is>
      </c>
      <c r="O106" s="8" t="inlineStr">
        <is>
          <t>10.17613/gt3g9-fqr57</t>
        </is>
      </c>
      <c r="P106" s="8" t="inlineStr">
        <is>
          <t>Classify for tracker</t>
        </is>
      </c>
      <c r="Q106" s="8" t="inlineStr">
        <is>
          <t>In corpus; not cited by the paper</t>
        </is>
      </c>
    </row>
    <row r="107">
      <c r="A107" s="10" t="inlineStr">
        <is>
          <t>corp033</t>
        </is>
      </c>
      <c r="B107" s="10" t="inlineStr">
        <is>
          <t>No</t>
        </is>
      </c>
      <c r="C107" s="10" t="inlineStr">
        <is>
          <t>Yes</t>
        </is>
      </c>
      <c r="D107" s="10" t="inlineStr">
        <is>
          <t>core</t>
        </is>
      </c>
      <c r="E107" s="10" t="inlineStr">
        <is>
          <t>core</t>
        </is>
      </c>
      <c r="F107" s="11" t="inlineStr">
        <is>
          <t>corpus_personhood_cluster</t>
        </is>
      </c>
      <c r="G107" s="11" t="inlineStr">
        <is>
          <t>Igor Milinković</t>
        </is>
      </c>
      <c r="H107" s="10" t="inlineStr">
        <is>
          <t>2021</t>
        </is>
      </c>
      <c r="I107" s="11" t="inlineStr">
        <is>
          <t>The Moral and Legal Status of Artificial Intelligence (Present Dilemmas and Future Challenges)</t>
        </is>
      </c>
      <c r="J107" s="11" t="inlineStr">
        <is>
          <t>Law and Business</t>
        </is>
      </c>
      <c r="K107" s="10" t="inlineStr">
        <is>
          <t>article</t>
        </is>
      </c>
      <c r="L107" s="10" t="inlineStr">
        <is>
          <t>philosophy</t>
        </is>
      </c>
      <c r="M107" s="11" t="inlineStr">
        <is>
          <t>moral_status;rights_law</t>
        </is>
      </c>
      <c r="N107" s="10" t="inlineStr">
        <is>
          <t>3</t>
        </is>
      </c>
      <c r="O107" s="11" t="inlineStr">
        <is>
          <t>10.2478/law-2021-0004</t>
        </is>
      </c>
      <c r="P107" s="11" t="inlineStr">
        <is>
          <t>Classify for tracker</t>
        </is>
      </c>
      <c r="Q107" s="11" t="inlineStr">
        <is>
          <t>In corpus; not cited by the paper</t>
        </is>
      </c>
    </row>
    <row r="108">
      <c r="A108" s="7" t="inlineStr">
        <is>
          <t>corp034</t>
        </is>
      </c>
      <c r="B108" s="7" t="inlineStr">
        <is>
          <t>No</t>
        </is>
      </c>
      <c r="C108" s="7" t="inlineStr">
        <is>
          <t>Yes</t>
        </is>
      </c>
      <c r="D108" s="7" t="inlineStr">
        <is>
          <t>core</t>
        </is>
      </c>
      <c r="E108" s="7" t="inlineStr">
        <is>
          <t>core</t>
        </is>
      </c>
      <c r="F108" s="8" t="inlineStr">
        <is>
          <t>corpus_personhood_cluster</t>
        </is>
      </c>
      <c r="G108" s="8" t="inlineStr">
        <is>
          <t>Tyler L. Jaynes</t>
        </is>
      </c>
      <c r="H108" s="7" t="inlineStr">
        <is>
          <t>2021</t>
        </is>
      </c>
      <c r="I108" s="8" t="inlineStr">
        <is>
          <t>The Question of Algorithmic Personhood and Being (Or: On the Tenuous Nature of Human Status and Humanity Tests in Virtual Spaces—Why All Souls Are ‘Necessarily’ Equal When Considered as Energy)</t>
        </is>
      </c>
      <c r="J108" s="8" t="inlineStr">
        <is>
          <t>J — Multidisciplinary Scientific Journal</t>
        </is>
      </c>
      <c r="K108" s="7" t="inlineStr">
        <is>
          <t>article</t>
        </is>
      </c>
      <c r="L108" s="7" t="inlineStr">
        <is>
          <t>philosophy</t>
        </is>
      </c>
      <c r="M108" s="8" t="inlineStr">
        <is>
          <t>rights_law;moral_status</t>
        </is>
      </c>
      <c r="N108" s="7" t="inlineStr">
        <is>
          <t>6</t>
        </is>
      </c>
      <c r="O108" s="8" t="inlineStr">
        <is>
          <t>10.3390/j4030035</t>
        </is>
      </c>
      <c r="P108" s="8" t="inlineStr">
        <is>
          <t>Classify for tracker</t>
        </is>
      </c>
      <c r="Q108" s="8" t="inlineStr">
        <is>
          <t>In corpus; not cited by the paper</t>
        </is>
      </c>
    </row>
    <row r="109">
      <c r="A109" s="10" t="inlineStr">
        <is>
          <t>corp049</t>
        </is>
      </c>
      <c r="B109" s="10" t="inlineStr">
        <is>
          <t>No</t>
        </is>
      </c>
      <c r="C109" s="10" t="inlineStr">
        <is>
          <t>Yes</t>
        </is>
      </c>
      <c r="D109" s="10" t="inlineStr">
        <is>
          <t>core</t>
        </is>
      </c>
      <c r="E109" s="10" t="inlineStr">
        <is>
          <t>core</t>
        </is>
      </c>
      <c r="F109" s="11" t="inlineStr">
        <is>
          <t>corpus_personhood_cluster</t>
        </is>
      </c>
      <c r="G109" s="11" t="inlineStr"/>
      <c r="H109" s="10" t="inlineStr">
        <is>
          <t>2017</t>
        </is>
      </c>
      <c r="I109" s="11" t="inlineStr">
        <is>
          <t>Turing’s People: Personhood, Artificial Intelligence and Popular Culture</t>
        </is>
      </c>
      <c r="J109" s="11" t="inlineStr"/>
      <c r="K109" s="10" t="inlineStr">
        <is>
          <t>article</t>
        </is>
      </c>
      <c r="L109" s="10" t="inlineStr">
        <is>
          <t>humanities_arts</t>
        </is>
      </c>
      <c r="M109" s="11" t="inlineStr">
        <is>
          <t>culture_media;moral_status</t>
        </is>
      </c>
      <c r="N109" s="10" t="inlineStr"/>
      <c r="O109" s="11" t="inlineStr"/>
      <c r="P109" s="11" t="inlineStr">
        <is>
          <t>Classify for tracker</t>
        </is>
      </c>
      <c r="Q109" s="11" t="inlineStr">
        <is>
          <t>In corpus; not cited by the paper</t>
        </is>
      </c>
    </row>
    <row r="110">
      <c r="A110" s="7" t="inlineStr">
        <is>
          <t>corp028</t>
        </is>
      </c>
      <c r="B110" s="7" t="inlineStr">
        <is>
          <t>No</t>
        </is>
      </c>
      <c r="C110" s="7" t="inlineStr">
        <is>
          <t>Yes</t>
        </is>
      </c>
      <c r="D110" s="7" t="inlineStr">
        <is>
          <t>core</t>
        </is>
      </c>
      <c r="E110" s="7" t="inlineStr">
        <is>
          <t>core</t>
        </is>
      </c>
      <c r="F110" s="8" t="inlineStr">
        <is>
          <t>corpus_personhood_cluster</t>
        </is>
      </c>
      <c r="G110" s="8" t="inlineStr">
        <is>
          <t>Léon Turner</t>
        </is>
      </c>
      <c r="H110" s="7" t="inlineStr">
        <is>
          <t>2023</t>
        </is>
      </c>
      <c r="I110" s="8" t="inlineStr">
        <is>
          <t>WILL WE KNOW THEM WHEN WE MEET THEM? HUMAN CYBORG AND NONHUMAN PERSONHOOD</t>
        </is>
      </c>
      <c r="J110" s="8" t="inlineStr">
        <is>
          <t>Zygon®</t>
        </is>
      </c>
      <c r="K110" s="7" t="inlineStr">
        <is>
          <t>article</t>
        </is>
      </c>
      <c r="L110" s="7" t="inlineStr">
        <is>
          <t>philosophy</t>
        </is>
      </c>
      <c r="M110" s="8" t="inlineStr">
        <is>
          <t>moral_status;identity_individuation</t>
        </is>
      </c>
      <c r="N110" s="7" t="inlineStr">
        <is>
          <t>2</t>
        </is>
      </c>
      <c r="O110" s="8" t="inlineStr">
        <is>
          <t>10.1111/zygo.12923</t>
        </is>
      </c>
      <c r="P110" s="8" t="inlineStr">
        <is>
          <t>Classify for tracker</t>
        </is>
      </c>
      <c r="Q110" s="8" t="inlineStr">
        <is>
          <t>In corpus; not cited by the paper</t>
        </is>
      </c>
    </row>
    <row r="111">
      <c r="A111" s="10" t="inlineStr">
        <is>
          <t>corp013</t>
        </is>
      </c>
      <c r="B111" s="10" t="inlineStr">
        <is>
          <t>No</t>
        </is>
      </c>
      <c r="C111" s="10" t="inlineStr">
        <is>
          <t>Yes</t>
        </is>
      </c>
      <c r="D111" s="10" t="inlineStr">
        <is>
          <t>core</t>
        </is>
      </c>
      <c r="E111" s="10" t="inlineStr">
        <is>
          <t>core</t>
        </is>
      </c>
      <c r="F111" s="11" t="inlineStr">
        <is>
          <t>corpus_personhood_cluster</t>
        </is>
      </c>
      <c r="G111" s="11" t="inlineStr">
        <is>
          <t>Saswati Swayamprava; Nagendra Kumar</t>
        </is>
      </c>
      <c r="H111" s="10" t="inlineStr">
        <is>
          <t>2025</t>
        </is>
      </c>
      <c r="I111" s="11" t="inlineStr">
        <is>
          <t>‘Mystery of the self’: embodied personhood and artificial intelligence in Ian McEwan’s Machines Like Me</t>
        </is>
      </c>
      <c r="J111" s="11" t="inlineStr">
        <is>
          <t>Textual Practice</t>
        </is>
      </c>
      <c r="K111" s="10" t="inlineStr">
        <is>
          <t>article</t>
        </is>
      </c>
      <c r="L111" s="10" t="inlineStr">
        <is>
          <t>humanities_arts</t>
        </is>
      </c>
      <c r="M111" s="11" t="inlineStr">
        <is>
          <t>culture_media;moral_status</t>
        </is>
      </c>
      <c r="N111" s="10" t="inlineStr">
        <is>
          <t>1</t>
        </is>
      </c>
      <c r="O111" s="11" t="inlineStr">
        <is>
          <t>10.1080/0950236x.2025.2496136</t>
        </is>
      </c>
      <c r="P111" s="11" t="inlineStr">
        <is>
          <t>Classify for tracker</t>
        </is>
      </c>
      <c r="Q111" s="11" t="inlineStr">
        <is>
          <t>In corpus; not cited by the paper</t>
        </is>
      </c>
    </row>
  </sheetData>
  <autoFilter ref="A1:Q111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9" r:id="rId37"/>
    <hyperlink xmlns:r="http://schemas.openxmlformats.org/officeDocument/2006/relationships" ref="O41" r:id="rId38"/>
    <hyperlink xmlns:r="http://schemas.openxmlformats.org/officeDocument/2006/relationships" ref="O42" r:id="rId39"/>
    <hyperlink xmlns:r="http://schemas.openxmlformats.org/officeDocument/2006/relationships" ref="O45" r:id="rId40"/>
    <hyperlink xmlns:r="http://schemas.openxmlformats.org/officeDocument/2006/relationships" ref="O46" r:id="rId41"/>
    <hyperlink xmlns:r="http://schemas.openxmlformats.org/officeDocument/2006/relationships" ref="O47" r:id="rId42"/>
    <hyperlink xmlns:r="http://schemas.openxmlformats.org/officeDocument/2006/relationships" ref="O70" r:id="rId43"/>
    <hyperlink xmlns:r="http://schemas.openxmlformats.org/officeDocument/2006/relationships" ref="O79" r:id="rId44"/>
    <hyperlink xmlns:r="http://schemas.openxmlformats.org/officeDocument/2006/relationships" ref="O83" r:id="rId45"/>
    <hyperlink xmlns:r="http://schemas.openxmlformats.org/officeDocument/2006/relationships" ref="O87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8" customWidth="1" min="3" max="3"/>
    <col width="62" customWidth="1" min="4" max="4"/>
    <col width="30" customWidth="1" min="5" max="5"/>
    <col width="16" customWidth="1" min="6" max="6"/>
    <col width="12" customWidth="1" min="7" max="7"/>
    <col width="20" customWidth="1" min="8" max="8"/>
    <col width="50" customWidth="1" min="9" max="9"/>
  </cols>
  <sheetData>
    <row r="1" ht="32" customHeight="1">
      <c r="A1" s="6" t="inlineStr">
        <is>
          <t>ref_key</t>
        </is>
      </c>
      <c r="B1" s="6" t="inlineStr">
        <is>
          <t>authors_or_source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outlet</t>
        </is>
      </c>
      <c r="F1" s="6" t="inlineStr">
        <is>
          <t>evidence_type</t>
        </is>
      </c>
      <c r="G1" s="6" t="inlineStr">
        <is>
          <t>jurisdiction</t>
        </is>
      </c>
      <c r="H1" s="6" t="inlineStr">
        <is>
          <t>related_bill</t>
        </is>
      </c>
      <c r="I1" s="6" t="inlineStr">
        <is>
          <t>url</t>
        </is>
      </c>
    </row>
    <row r="2">
      <c r="A2" s="7" t="inlineStr">
        <is>
          <t>abdurasulov2025</t>
        </is>
      </c>
      <c r="B2" s="8" t="inlineStr">
        <is>
          <t>Abdurasulov, A.</t>
        </is>
      </c>
      <c r="C2" s="7" t="inlineStr">
        <is>
          <t>2025</t>
        </is>
      </c>
      <c r="D2" s="8" t="inlineStr">
        <is>
          <t>The new AI arms race changing the war in Ukraine</t>
        </is>
      </c>
      <c r="E2" s="8" t="inlineStr">
        <is>
          <t>BBC News</t>
        </is>
      </c>
      <c r="F2" s="7" t="inlineStr">
        <is>
          <t>news</t>
        </is>
      </c>
      <c r="G2" s="7" t="inlineStr"/>
      <c r="H2" s="7" t="inlineStr"/>
      <c r="I2" s="9" t="inlineStr">
        <is>
          <t>https://www.bbc.co.uk/news/articles/cly7jrez2jno</t>
        </is>
      </c>
    </row>
    <row r="3">
      <c r="A3" s="10" t="inlineStr">
        <is>
          <t>alexander_simon2025</t>
        </is>
      </c>
      <c r="B3" s="11" t="inlineStr">
        <is>
          <t>Alexander, H.; Simon, J.</t>
        </is>
      </c>
      <c r="C3" s="10" t="inlineStr">
        <is>
          <t>2025</t>
        </is>
      </c>
      <c r="D3" s="11" t="inlineStr">
        <is>
          <t>Ohio's AI Personhood Ban Risks Outlawing the Future</t>
        </is>
      </c>
      <c r="E3" s="11" t="inlineStr">
        <is>
          <t>Ohio Capital Journal</t>
        </is>
      </c>
      <c r="F3" s="10" t="inlineStr">
        <is>
          <t>op_ed</t>
        </is>
      </c>
      <c r="G3" s="10" t="inlineStr">
        <is>
          <t>OH</t>
        </is>
      </c>
      <c r="H3" s="10" t="inlineStr">
        <is>
          <t>HB 469</t>
        </is>
      </c>
      <c r="I3" s="12" t="inlineStr">
        <is>
          <t>https://ohiocapitaljournal.com/2025/11/25/ohios-ai-personhood-ban-risks-outlawing-the-future/</t>
        </is>
      </c>
    </row>
    <row r="4">
      <c r="A4" s="7" t="inlineStr">
        <is>
          <t>allianceai_a</t>
        </is>
      </c>
      <c r="B4" s="8" t="inlineStr">
        <is>
          <t>Alliance for Secure AI Action</t>
        </is>
      </c>
      <c r="C4" s="7" t="inlineStr">
        <is>
          <t>n.d.</t>
        </is>
      </c>
      <c r="D4" s="8" t="inlineStr">
        <is>
          <t>The Alliance for Secure AI Action</t>
        </is>
      </c>
      <c r="E4" s="8" t="inlineStr">
        <is>
          <t>Organisation site</t>
        </is>
      </c>
      <c r="F4" s="7" t="inlineStr">
        <is>
          <t>advocacy</t>
        </is>
      </c>
      <c r="G4" s="7" t="inlineStr"/>
      <c r="H4" s="7" t="inlineStr"/>
      <c r="I4" s="9" t="inlineStr">
        <is>
          <t>https://secureainow.org/</t>
        </is>
      </c>
    </row>
    <row r="5">
      <c r="A5" s="10" t="inlineStr">
        <is>
          <t>allianceai_b</t>
        </is>
      </c>
      <c r="B5" s="11" t="inlineStr">
        <is>
          <t>Alliance for Secure AI Action</t>
        </is>
      </c>
      <c r="C5" s="10" t="inlineStr">
        <is>
          <t>n.d.</t>
        </is>
      </c>
      <c r="D5" s="11" t="inlineStr">
        <is>
          <t>The Alliance for Secure AI Staff</t>
        </is>
      </c>
      <c r="E5" s="11" t="inlineStr">
        <is>
          <t>Organisation site</t>
        </is>
      </c>
      <c r="F5" s="10" t="inlineStr">
        <is>
          <t>advocacy</t>
        </is>
      </c>
      <c r="G5" s="10" t="inlineStr"/>
      <c r="H5" s="10" t="inlineStr"/>
      <c r="I5" s="12" t="inlineStr">
        <is>
          <t>https://secureainow.org/staff/</t>
        </is>
      </c>
    </row>
    <row r="6">
      <c r="A6" s="7" t="inlineStr">
        <is>
          <t>amipodcast2025</t>
        </is>
      </c>
      <c r="B6" s="8" t="inlineStr">
        <is>
          <t>Am I? Podcast</t>
        </is>
      </c>
      <c r="C6" s="7" t="inlineStr">
        <is>
          <t>2025</t>
        </is>
      </c>
      <c r="D6" s="8" t="inlineStr">
        <is>
          <t>Lawmaker Explains Why He Wants to Outlaw AI Consciousness</t>
        </is>
      </c>
      <c r="E6" s="8" t="inlineStr">
        <is>
          <t>Podcast</t>
        </is>
      </c>
      <c r="F6" s="7" t="inlineStr">
        <is>
          <t>media</t>
        </is>
      </c>
      <c r="G6" s="7" t="inlineStr">
        <is>
          <t>OH</t>
        </is>
      </c>
      <c r="H6" s="7" t="inlineStr">
        <is>
          <t>HB 469</t>
        </is>
      </c>
      <c r="I6" s="9" t="inlineStr">
        <is>
          <t>https://podcasts.apple.com/us/podcast/am-i-id1834212843?i=1000740865127</t>
        </is>
      </c>
    </row>
    <row r="7">
      <c r="A7" s="10" t="inlineStr">
        <is>
          <t>aquinas</t>
        </is>
      </c>
      <c r="B7" s="11" t="inlineStr">
        <is>
          <t>Aquinas, T.</t>
        </is>
      </c>
      <c r="C7" s="10" t="inlineStr">
        <is>
          <t>ca. 1270</t>
        </is>
      </c>
      <c r="D7" s="11" t="inlineStr">
        <is>
          <t>Summa Theologiae, Prima Pars, Question 93</t>
        </is>
      </c>
      <c r="E7" s="11" t="inlineStr">
        <is>
          <t>-</t>
        </is>
      </c>
      <c r="F7" s="10" t="inlineStr">
        <is>
          <t>primary_religious</t>
        </is>
      </c>
      <c r="G7" s="10" t="inlineStr"/>
      <c r="H7" s="10" t="inlineStr"/>
      <c r="I7" s="11" t="inlineStr"/>
    </row>
    <row r="8">
      <c r="A8" s="7" t="inlineStr">
        <is>
          <t>ball2025a</t>
        </is>
      </c>
      <c r="B8" s="8" t="inlineStr">
        <is>
          <t>Ball, D.</t>
        </is>
      </c>
      <c r="C8" s="7" t="inlineStr">
        <is>
          <t>2025</t>
        </is>
      </c>
      <c r="D8" s="8" t="inlineStr">
        <is>
          <t>Tweet reply on TN SB 1493 and the First Amendment</t>
        </is>
      </c>
      <c r="E8" s="8" t="inlineStr">
        <is>
          <t>X (Twitter)</t>
        </is>
      </c>
      <c r="F8" s="7" t="inlineStr">
        <is>
          <t>social</t>
        </is>
      </c>
      <c r="G8" s="7" t="inlineStr">
        <is>
          <t>TN</t>
        </is>
      </c>
      <c r="H8" s="7" t="inlineStr">
        <is>
          <t>HB 1455 / SB 1493</t>
        </is>
      </c>
      <c r="I8" s="9" t="inlineStr">
        <is>
          <t>https://x.com/deanwball/status/2004678006561013931</t>
        </is>
      </c>
    </row>
    <row r="9">
      <c r="A9" s="10" t="inlineStr">
        <is>
          <t>ball2025b</t>
        </is>
      </c>
      <c r="B9" s="11" t="inlineStr">
        <is>
          <t>Ball, D.</t>
        </is>
      </c>
      <c r="C9" s="10" t="inlineStr">
        <is>
          <t>2025</t>
        </is>
      </c>
      <c r="D9" s="11" t="inlineStr">
        <is>
          <t>Tweet commenting on TN SB 1493</t>
        </is>
      </c>
      <c r="E9" s="11" t="inlineStr">
        <is>
          <t>X (Twitter)</t>
        </is>
      </c>
      <c r="F9" s="10" t="inlineStr">
        <is>
          <t>social</t>
        </is>
      </c>
      <c r="G9" s="10" t="inlineStr">
        <is>
          <t>TN</t>
        </is>
      </c>
      <c r="H9" s="10" t="inlineStr">
        <is>
          <t>HB 1455 / SB 1493</t>
        </is>
      </c>
      <c r="I9" s="12" t="inlineStr">
        <is>
          <t>https://x.com/deanwball/status/2004637387402416246</t>
        </is>
      </c>
    </row>
    <row r="10">
      <c r="A10" s="7" t="inlineStr">
        <is>
          <t>ball_bio</t>
        </is>
      </c>
      <c r="B10" s="8" t="inlineStr">
        <is>
          <t>Ball, D.</t>
        </is>
      </c>
      <c r="C10" s="7" t="inlineStr">
        <is>
          <t>n.d.</t>
        </is>
      </c>
      <c r="D10" s="8" t="inlineStr">
        <is>
          <t>Dean W. Ball - Biography</t>
        </is>
      </c>
      <c r="E10" s="8" t="inlineStr">
        <is>
          <t>Personal site</t>
        </is>
      </c>
      <c r="F10" s="7" t="inlineStr">
        <is>
          <t>bio</t>
        </is>
      </c>
      <c r="G10" s="7" t="inlineStr"/>
      <c r="H10" s="7" t="inlineStr"/>
      <c r="I10" s="9" t="inlineStr">
        <is>
          <t>https://www.deanball.com/</t>
        </is>
      </c>
    </row>
    <row r="11">
      <c r="A11" s="10" t="inlineStr">
        <is>
          <t>banutah_complaint</t>
        </is>
      </c>
      <c r="B11" s="11" t="inlineStr">
        <is>
          <t>Ban v. Utah complaint</t>
        </is>
      </c>
      <c r="C11" s="10" t="inlineStr">
        <is>
          <t>2025</t>
        </is>
      </c>
      <c r="D11" s="11" t="inlineStr">
        <is>
          <t>No. 250900869 (Utah Dist. Ct.)</t>
        </is>
      </c>
      <c r="E11" s="11" t="inlineStr">
        <is>
          <t>Court filing</t>
        </is>
      </c>
      <c r="F11" s="10" t="inlineStr">
        <is>
          <t>legal_doc</t>
        </is>
      </c>
      <c r="G11" s="10" t="inlineStr">
        <is>
          <t>UT</t>
        </is>
      </c>
      <c r="H11" s="10" t="inlineStr">
        <is>
          <t>HB 249</t>
        </is>
      </c>
      <c r="I11" s="12" t="inlineStr">
        <is>
          <t>https://www.nonhumanrights.org/wp-content/uploads/2025/01/UT-Complaint.pdf</t>
        </is>
      </c>
    </row>
    <row r="12">
      <c r="A12" s="7" t="inlineStr">
        <is>
          <t>banutah_dismissal</t>
        </is>
      </c>
      <c r="B12" s="8" t="inlineStr">
        <is>
          <t>Ban v. Utah dismissal order</t>
        </is>
      </c>
      <c r="C12" s="7" t="inlineStr">
        <is>
          <t>2025</t>
        </is>
      </c>
      <c r="D12" s="8" t="inlineStr">
        <is>
          <t>Memorandum decision and order granting motion to dismiss</t>
        </is>
      </c>
      <c r="E12" s="8" t="inlineStr">
        <is>
          <t>Court order</t>
        </is>
      </c>
      <c r="F12" s="7" t="inlineStr">
        <is>
          <t>legal_doc</t>
        </is>
      </c>
      <c r="G12" s="7" t="inlineStr">
        <is>
          <t>UT</t>
        </is>
      </c>
      <c r="H12" s="7" t="inlineStr">
        <is>
          <t>HB 249</t>
        </is>
      </c>
      <c r="I12" s="8" t="inlineStr"/>
    </row>
    <row r="13">
      <c r="A13" s="10" t="inlineStr">
        <is>
          <t>barker2026</t>
        </is>
      </c>
      <c r="B13" s="11" t="inlineStr">
        <is>
          <t>Barker, D.</t>
        </is>
      </c>
      <c r="C13" s="10" t="inlineStr">
        <is>
          <t>2026</t>
        </is>
      </c>
      <c r="D13" s="11" t="inlineStr">
        <is>
          <t>Testimony on AB 959 before the Wisconsin Assembly Cttee on Science, Technology and AI</t>
        </is>
      </c>
      <c r="E13" s="11" t="inlineStr">
        <is>
          <t>Wisconsin Legislature</t>
        </is>
      </c>
      <c r="F13" s="10" t="inlineStr">
        <is>
          <t>testimony</t>
        </is>
      </c>
      <c r="G13" s="10" t="inlineStr">
        <is>
          <t>WI</t>
        </is>
      </c>
      <c r="H13" s="10" t="inlineStr">
        <is>
          <t>AB 959 / SB 932</t>
        </is>
      </c>
      <c r="I13" s="12" t="inlineStr">
        <is>
          <t>https://docs.legis.wisconsin.gov/misc/lc/hearing_testimony_and_materials/2025/ab959/ab0959_2026_02_04.pdf</t>
        </is>
      </c>
    </row>
    <row r="14">
      <c r="A14" s="7" t="inlineStr">
        <is>
          <t>berg2025</t>
        </is>
      </c>
      <c r="B14" s="8" t="inlineStr">
        <is>
          <t>Berg, C.; Rosenblatt, J.</t>
        </is>
      </c>
      <c r="C14" s="7" t="inlineStr">
        <is>
          <t>2025</t>
        </is>
      </c>
      <c r="D14" s="8" t="inlineStr">
        <is>
          <t>If AI Becomes Conscious, We Need to Know</t>
        </is>
      </c>
      <c r="E14" s="8" t="inlineStr">
        <is>
          <t>Wall Street Journal</t>
        </is>
      </c>
      <c r="F14" s="7" t="inlineStr">
        <is>
          <t>op_ed</t>
        </is>
      </c>
      <c r="G14" s="7" t="inlineStr"/>
      <c r="H14" s="7" t="inlineStr"/>
      <c r="I14" s="9" t="inlineStr">
        <is>
          <t>https://www.wsj.com/opinion/if-ai-becomes-conscious-we-need-to-know-83aa61d8</t>
        </is>
      </c>
    </row>
    <row r="15">
      <c r="A15" s="10" t="inlineStr">
        <is>
          <t>berry2026</t>
        </is>
      </c>
      <c r="B15" s="11" t="inlineStr">
        <is>
          <t>Berry, S.</t>
        </is>
      </c>
      <c r="C15" s="10" t="inlineStr">
        <is>
          <t>2026</t>
        </is>
      </c>
      <c r="D15" s="11" t="inlineStr">
        <is>
          <t>Testimony on Missouri HB 1746</t>
        </is>
      </c>
      <c r="E15" s="11" t="inlineStr">
        <is>
          <t>Missouri House of Representatives</t>
        </is>
      </c>
      <c r="F15" s="10" t="inlineStr">
        <is>
          <t>testimony</t>
        </is>
      </c>
      <c r="G15" s="10" t="inlineStr">
        <is>
          <t>MO</t>
        </is>
      </c>
      <c r="H15" s="10" t="inlineStr">
        <is>
          <t>HB 1746</t>
        </is>
      </c>
      <c r="I15" s="12" t="inlineStr">
        <is>
          <t>https://documents.house.mo.gov/billtracking/bills261/witnesses/HB1746Testimony2-2.pdf</t>
        </is>
      </c>
    </row>
    <row r="16">
      <c r="A16" s="7" t="inlineStr">
        <is>
          <t>bible</t>
        </is>
      </c>
      <c r="B16" s="8" t="inlineStr">
        <is>
          <t>Bible</t>
        </is>
      </c>
      <c r="C16" s="7" t="inlineStr">
        <is>
          <t>-</t>
        </is>
      </c>
      <c r="D16" s="8" t="inlineStr">
        <is>
          <t>Genesis 1:26-27</t>
        </is>
      </c>
      <c r="E16" s="8" t="inlineStr">
        <is>
          <t>-</t>
        </is>
      </c>
      <c r="F16" s="7" t="inlineStr">
        <is>
          <t>primary_religious</t>
        </is>
      </c>
      <c r="G16" s="7" t="inlineStr"/>
      <c r="H16" s="7" t="inlineStr"/>
      <c r="I16" s="8" t="inlineStr"/>
    </row>
    <row r="17">
      <c r="A17" s="10" t="inlineStr">
        <is>
          <t>blacks2001</t>
        </is>
      </c>
      <c r="B17" s="11" t="inlineStr">
        <is>
          <t>Black's Law Dictionary</t>
        </is>
      </c>
      <c r="C17" s="10" t="inlineStr">
        <is>
          <t>2001</t>
        </is>
      </c>
      <c r="D17" s="11" t="inlineStr">
        <is>
          <t>2nd pocket edn (Bryan A. Garner, ed.)</t>
        </is>
      </c>
      <c r="E17" s="11" t="inlineStr">
        <is>
          <t>West Group</t>
        </is>
      </c>
      <c r="F17" s="10" t="inlineStr">
        <is>
          <t>reference_work</t>
        </is>
      </c>
      <c r="G17" s="10" t="inlineStr"/>
      <c r="H17" s="10" t="inlineStr"/>
      <c r="I17" s="11" t="inlineStr"/>
    </row>
    <row r="18">
      <c r="A18" s="7" t="inlineStr">
        <is>
          <t>boone2022</t>
        </is>
      </c>
      <c r="B18" s="8" t="inlineStr">
        <is>
          <t>Boone, R.</t>
        </is>
      </c>
      <c r="C18" s="7" t="inlineStr">
        <is>
          <t>2022</t>
        </is>
      </c>
      <c r="D18" s="8" t="inlineStr">
        <is>
          <t>Bill Would Bar Idaho's Lands and Animals From 'Personhood'</t>
        </is>
      </c>
      <c r="E18" s="8" t="inlineStr">
        <is>
          <t>Associated Press</t>
        </is>
      </c>
      <c r="F18" s="7" t="inlineStr">
        <is>
          <t>news</t>
        </is>
      </c>
      <c r="G18" s="7" t="inlineStr">
        <is>
          <t>ID</t>
        </is>
      </c>
      <c r="H18" s="7" t="inlineStr">
        <is>
          <t>HB 720</t>
        </is>
      </c>
      <c r="I18" s="9" t="inlineStr">
        <is>
          <t>https://apnews.com/article/united-states-environment-animals-idaho-402c779428a74a6ec9e7994ee977005c</t>
        </is>
      </c>
    </row>
    <row r="19">
      <c r="A19" s="10" t="inlineStr">
        <is>
          <t>brill2026</t>
        </is>
      </c>
      <c r="B19" s="11" t="inlineStr">
        <is>
          <t>Brill, L.</t>
        </is>
      </c>
      <c r="C19" s="10" t="inlineStr">
        <is>
          <t>2026</t>
        </is>
      </c>
      <c r="D19" s="11" t="inlineStr">
        <is>
          <t>Testimony on AB 959 before the Wisconsin Assembly Committee</t>
        </is>
      </c>
      <c r="E19" s="11" t="inlineStr">
        <is>
          <t>Wisconsin Legislature</t>
        </is>
      </c>
      <c r="F19" s="10" t="inlineStr">
        <is>
          <t>testimony</t>
        </is>
      </c>
      <c r="G19" s="10" t="inlineStr">
        <is>
          <t>WI</t>
        </is>
      </c>
      <c r="H19" s="10" t="inlineStr">
        <is>
          <t>AB 959 / SB 932</t>
        </is>
      </c>
      <c r="I19" s="12" t="inlineStr">
        <is>
          <t>https://docs.legis.wisconsin.gov/misc/lc/hearing_testimony_and_materials/2025/ab959/ab0959_2026_02_04.pdf</t>
        </is>
      </c>
    </row>
    <row r="20">
      <c r="A20" s="7" t="inlineStr">
        <is>
          <t>claggett2025</t>
        </is>
      </c>
      <c r="B20" s="8" t="inlineStr">
        <is>
          <t>Claggett, T.</t>
        </is>
      </c>
      <c r="C20" s="7" t="inlineStr">
        <is>
          <t>2025</t>
        </is>
      </c>
      <c r="D20" s="8" t="inlineStr">
        <is>
          <t>Sponsor testimony on HB 469, Ohio House Technology and Innovation Cttee</t>
        </is>
      </c>
      <c r="E20" s="8" t="inlineStr">
        <is>
          <t>Ohio House of Representatives</t>
        </is>
      </c>
      <c r="F20" s="7" t="inlineStr">
        <is>
          <t>testimony</t>
        </is>
      </c>
      <c r="G20" s="7" t="inlineStr">
        <is>
          <t>OH</t>
        </is>
      </c>
      <c r="H20" s="7" t="inlineStr">
        <is>
          <t>HB 469</t>
        </is>
      </c>
      <c r="I20" s="9" t="inlineStr">
        <is>
          <t>https://ohiohouse.gov/committees/technology-and-innovation/bills/hb469</t>
        </is>
      </c>
    </row>
    <row r="21">
      <c r="A21" s="10" t="inlineStr">
        <is>
          <t>maynard_nd</t>
        </is>
      </c>
      <c r="B21" s="11" t="inlineStr">
        <is>
          <t>Cody Maynard for Oklahoma</t>
        </is>
      </c>
      <c r="C21" s="10" t="inlineStr">
        <is>
          <t>n.d.</t>
        </is>
      </c>
      <c r="D21" s="11" t="inlineStr">
        <is>
          <t>Endorsements</t>
        </is>
      </c>
      <c r="E21" s="11" t="inlineStr">
        <is>
          <t>Campaign site</t>
        </is>
      </c>
      <c r="F21" s="10" t="inlineStr">
        <is>
          <t>advocacy</t>
        </is>
      </c>
      <c r="G21" s="10" t="inlineStr">
        <is>
          <t>OK</t>
        </is>
      </c>
      <c r="H21" s="10" t="inlineStr">
        <is>
          <t>HB 3546</t>
        </is>
      </c>
      <c r="I21" s="12" t="inlineStr">
        <is>
          <t>https://codymaynard.com/home/endorsements/</t>
        </is>
      </c>
    </row>
    <row r="22">
      <c r="A22" s="7" t="inlineStr">
        <is>
          <t>colbert2025</t>
        </is>
      </c>
      <c r="B22" s="8" t="inlineStr">
        <is>
          <t>Colbert, S.</t>
        </is>
      </c>
      <c r="C22" s="7" t="inlineStr">
        <is>
          <t>2025</t>
        </is>
      </c>
      <c r="D22" s="8" t="inlineStr">
        <is>
          <t>The A.I. Stock Bubble | ChatGPT, Grok, Go Erotic | Banning Human-Chatbot Marriage</t>
        </is>
      </c>
      <c r="E22" s="8" t="inlineStr">
        <is>
          <t>YouTube</t>
        </is>
      </c>
      <c r="F22" s="7" t="inlineStr">
        <is>
          <t>media</t>
        </is>
      </c>
      <c r="G22" s="7" t="inlineStr"/>
      <c r="H22" s="7" t="inlineStr"/>
      <c r="I22" s="9" t="inlineStr">
        <is>
          <t>https://www.youtube.com/watch?v=o-u_ZkGBcNc</t>
        </is>
      </c>
    </row>
    <row r="23">
      <c r="A23" s="10" t="inlineStr">
        <is>
          <t>copp2026</t>
        </is>
      </c>
      <c r="B23" s="11" t="inlineStr">
        <is>
          <t>Copp, T. et al.</t>
        </is>
      </c>
      <c r="C23" s="10" t="inlineStr">
        <is>
          <t>2026</t>
        </is>
      </c>
      <c r="D23" s="11" t="inlineStr">
        <is>
          <t>Anthropic's AI tool Claude central to U.S. campaign in Iran, amid a bitter feud</t>
        </is>
      </c>
      <c r="E23" s="11" t="inlineStr">
        <is>
          <t>Washington Post</t>
        </is>
      </c>
      <c r="F23" s="10" t="inlineStr">
        <is>
          <t>news</t>
        </is>
      </c>
      <c r="G23" s="10" t="inlineStr"/>
      <c r="H23" s="10" t="inlineStr"/>
      <c r="I23" s="12" t="inlineStr">
        <is>
          <t>https://www.washingtonpost.com/technology/2026/03/04/anthropic-ai-iran-campaign/</t>
        </is>
      </c>
    </row>
    <row r="24">
      <c r="A24" s="7" t="inlineStr">
        <is>
          <t>cornell_lii</t>
        </is>
      </c>
      <c r="B24" s="8" t="inlineStr">
        <is>
          <t>Cornell Legal Information Institute</t>
        </is>
      </c>
      <c r="C24" s="7" t="inlineStr">
        <is>
          <t>n.d.</t>
        </is>
      </c>
      <c r="D24" s="8" t="inlineStr">
        <is>
          <t>Wex Legal Definitions (Natural Person; Artificial Person)</t>
        </is>
      </c>
      <c r="E24" s="8" t="inlineStr">
        <is>
          <t>Legal Information Institute</t>
        </is>
      </c>
      <c r="F24" s="7" t="inlineStr">
        <is>
          <t>reference_work</t>
        </is>
      </c>
      <c r="G24" s="7" t="inlineStr"/>
      <c r="H24" s="7" t="inlineStr"/>
      <c r="I24" s="9" t="inlineStr">
        <is>
          <t>https://www.law.cornell.edu/wex/natural_person</t>
        </is>
      </c>
    </row>
    <row r="25">
      <c r="A25" s="10" t="inlineStr">
        <is>
          <t>dodson2023</t>
        </is>
      </c>
      <c r="B25" s="11" t="inlineStr">
        <is>
          <t>Dodson, C.</t>
        </is>
      </c>
      <c r="C25" s="10" t="inlineStr">
        <is>
          <t>2023</t>
        </is>
      </c>
      <c r="D25" s="11" t="inlineStr">
        <is>
          <t>Oral testimony on HB 1361 before the North Dakota Legislative Assembly</t>
        </is>
      </c>
      <c r="E25" s="11" t="inlineStr">
        <is>
          <t>North Dakota Legislative Assembly</t>
        </is>
      </c>
      <c r="F25" s="10" t="inlineStr">
        <is>
          <t>testimony</t>
        </is>
      </c>
      <c r="G25" s="10" t="inlineStr">
        <is>
          <t>ND</t>
        </is>
      </c>
      <c r="H25" s="10" t="inlineStr">
        <is>
          <t>HB 1361</t>
        </is>
      </c>
      <c r="I25" s="12" t="inlineStr">
        <is>
          <t>https://video.ndlegis.gov/en/PowerBrowser/PowerBrowserV2/20230306/-1/29325</t>
        </is>
      </c>
    </row>
    <row r="26">
      <c r="A26" s="7" t="inlineStr">
        <is>
          <t>douthat2026</t>
        </is>
      </c>
      <c r="B26" s="8" t="inlineStr">
        <is>
          <t>Douthat, R.; Alvarez Boyd, S.</t>
        </is>
      </c>
      <c r="C26" s="7" t="inlineStr">
        <is>
          <t>2026</t>
        </is>
      </c>
      <c r="D26" s="8" t="inlineStr">
        <is>
          <t>Anthropic's Chief on A.I.: We Don't Know if the Models Are Conscious</t>
        </is>
      </c>
      <c r="E26" s="8" t="inlineStr">
        <is>
          <t>New York Times</t>
        </is>
      </c>
      <c r="F26" s="7" t="inlineStr">
        <is>
          <t>news</t>
        </is>
      </c>
      <c r="G26" s="7" t="inlineStr"/>
      <c r="H26" s="7" t="inlineStr"/>
      <c r="I26" s="9" t="inlineStr">
        <is>
          <t>https://www.nytimes.com/2026/02/12/opinion/artificial-intelligence-anthropic-amodei.html</t>
        </is>
      </c>
    </row>
    <row r="27">
      <c r="A27" s="10" t="inlineStr">
        <is>
          <t>earthlaw2024</t>
        </is>
      </c>
      <c r="B27" s="11" t="inlineStr">
        <is>
          <t>Earth Law Center</t>
        </is>
      </c>
      <c r="C27" s="10" t="inlineStr">
        <is>
          <t>2024</t>
        </is>
      </c>
      <c r="D27" s="11" t="inlineStr">
        <is>
          <t>Utah Advances Anti-Rights of Nature Bill with Implications for AI</t>
        </is>
      </c>
      <c r="E27" s="11" t="inlineStr">
        <is>
          <t>Earth Law Center</t>
        </is>
      </c>
      <c r="F27" s="10" t="inlineStr">
        <is>
          <t>advocacy</t>
        </is>
      </c>
      <c r="G27" s="10" t="inlineStr">
        <is>
          <t>UT</t>
        </is>
      </c>
      <c r="H27" s="10" t="inlineStr">
        <is>
          <t>HB 249</t>
        </is>
      </c>
      <c r="I27" s="12" t="inlineStr">
        <is>
          <t>https://www.earthlawcenter.org/blog-entries/2024/2/utah-advances-anti-rights-of-nature-bill-with-implications-for-ai</t>
        </is>
      </c>
    </row>
    <row r="28">
      <c r="A28" s="7" t="inlineStr">
        <is>
          <t>edmonson2025</t>
        </is>
      </c>
      <c r="B28" s="8" t="inlineStr">
        <is>
          <t>Edmonson, D.</t>
        </is>
      </c>
      <c r="C28" s="7" t="inlineStr">
        <is>
          <t>2025</t>
        </is>
      </c>
      <c r="D28" s="8" t="inlineStr">
        <is>
          <t>RE: HB 469, concerns (testimony to Ohio House Cttee on Technology and Innovation)</t>
        </is>
      </c>
      <c r="E28" s="8" t="inlineStr">
        <is>
          <t>Ohio House of Representatives</t>
        </is>
      </c>
      <c r="F28" s="7" t="inlineStr">
        <is>
          <t>testimony</t>
        </is>
      </c>
      <c r="G28" s="7" t="inlineStr">
        <is>
          <t>OH</t>
        </is>
      </c>
      <c r="H28" s="7" t="inlineStr">
        <is>
          <t>HB 469</t>
        </is>
      </c>
      <c r="I28" s="9" t="inlineStr">
        <is>
          <t>https://ohiohouse.gov/committees/technology-and-innovation/bills/hb469</t>
        </is>
      </c>
    </row>
    <row r="29">
      <c r="A29" s="10" t="inlineStr">
        <is>
          <t>evans2025</t>
        </is>
      </c>
      <c r="B29" s="11" t="inlineStr">
        <is>
          <t>Evans, N.</t>
        </is>
      </c>
      <c r="C29" s="10" t="inlineStr">
        <is>
          <t>2025</t>
        </is>
      </c>
      <c r="D29" s="11" t="inlineStr">
        <is>
          <t>What's in Ohio's Proposal Banning AI Personhood</t>
        </is>
      </c>
      <c r="E29" s="11" t="inlineStr">
        <is>
          <t>Ohio Capital Journal</t>
        </is>
      </c>
      <c r="F29" s="10" t="inlineStr">
        <is>
          <t>news</t>
        </is>
      </c>
      <c r="G29" s="10" t="inlineStr">
        <is>
          <t>OH</t>
        </is>
      </c>
      <c r="H29" s="10" t="inlineStr">
        <is>
          <t>HB 469</t>
        </is>
      </c>
      <c r="I29" s="12" t="inlineStr">
        <is>
          <t>https://ohiocapitaljournal.com/2025/11/17/whats-in-ohios-proposal-banning-ai-personhood/</t>
        </is>
      </c>
    </row>
    <row r="30">
      <c r="A30" s="7" t="inlineStr">
        <is>
          <t>fli_a</t>
        </is>
      </c>
      <c r="B30" s="8" t="inlineStr">
        <is>
          <t>Future of Life Institute</t>
        </is>
      </c>
      <c r="C30" s="7" t="inlineStr">
        <is>
          <t>n.d.</t>
        </is>
      </c>
      <c r="D30" s="8" t="inlineStr">
        <is>
          <t>About us</t>
        </is>
      </c>
      <c r="E30" s="8" t="inlineStr">
        <is>
          <t>FLI</t>
        </is>
      </c>
      <c r="F30" s="7" t="inlineStr">
        <is>
          <t>advocacy</t>
        </is>
      </c>
      <c r="G30" s="7" t="inlineStr"/>
      <c r="H30" s="7" t="inlineStr"/>
      <c r="I30" s="9" t="inlineStr">
        <is>
          <t>https://futureoflife.org/about-us/</t>
        </is>
      </c>
    </row>
    <row r="31">
      <c r="A31" s="10" t="inlineStr">
        <is>
          <t>fli_b</t>
        </is>
      </c>
      <c r="B31" s="11" t="inlineStr">
        <is>
          <t>Future of Life Institute</t>
        </is>
      </c>
      <c r="C31" s="10" t="inlineStr">
        <is>
          <t>n.d.</t>
        </is>
      </c>
      <c r="D31" s="11" t="inlineStr">
        <is>
          <t>Home</t>
        </is>
      </c>
      <c r="E31" s="11" t="inlineStr">
        <is>
          <t>FLI</t>
        </is>
      </c>
      <c r="F31" s="10" t="inlineStr">
        <is>
          <t>advocacy</t>
        </is>
      </c>
      <c r="G31" s="10" t="inlineStr"/>
      <c r="H31" s="10" t="inlineStr"/>
      <c r="I31" s="12" t="inlineStr">
        <is>
          <t>https://futureoflife.org/</t>
        </is>
      </c>
    </row>
    <row r="32">
      <c r="A32" s="7" t="inlineStr">
        <is>
          <t>hochul2025</t>
        </is>
      </c>
      <c r="B32" s="8" t="inlineStr">
        <is>
          <t>Governor Kathy Hochul</t>
        </is>
      </c>
      <c r="C32" s="7" t="inlineStr">
        <is>
          <t>2025</t>
        </is>
      </c>
      <c r="D32" s="8" t="inlineStr">
        <is>
          <t>Governor Hochul Signs Legislation to Require AI Frameworks for AI Frontier Models</t>
        </is>
      </c>
      <c r="E32" s="8" t="inlineStr">
        <is>
          <t>NY Governor's Office</t>
        </is>
      </c>
      <c r="F32" s="7" t="inlineStr">
        <is>
          <t>press_release</t>
        </is>
      </c>
      <c r="G32" s="7" t="inlineStr">
        <is>
          <t>NY</t>
        </is>
      </c>
      <c r="H32" s="7" t="inlineStr"/>
      <c r="I32" s="9" t="inlineStr">
        <is>
          <t>https://www.governor.ny.gov/news/governor-hochul-signs-nation-leading-legislation-require-ai-frameworks-ai-frontier-models</t>
        </is>
      </c>
    </row>
    <row r="33">
      <c r="A33" s="10" t="inlineStr">
        <is>
          <t>guardian2022</t>
        </is>
      </c>
      <c r="B33" s="11" t="inlineStr">
        <is>
          <t>Guardian</t>
        </is>
      </c>
      <c r="C33" s="10" t="inlineStr">
        <is>
          <t>2022</t>
        </is>
      </c>
      <c r="D33" s="11" t="inlineStr">
        <is>
          <t>Happy the elephant is not a person, says court in key US animal rights case</t>
        </is>
      </c>
      <c r="E33" s="11" t="inlineStr">
        <is>
          <t>The Guardian</t>
        </is>
      </c>
      <c r="F33" s="10" t="inlineStr">
        <is>
          <t>news</t>
        </is>
      </c>
      <c r="G33" s="10" t="inlineStr"/>
      <c r="H33" s="10" t="inlineStr"/>
      <c r="I33" s="12" t="inlineStr">
        <is>
          <t>https://www.theguardian.com/us-news/2022/jun/14/elephant-person-animal-rights-happy</t>
        </is>
      </c>
    </row>
    <row r="34">
      <c r="A34" s="7" t="inlineStr">
        <is>
          <t>hardin2026</t>
        </is>
      </c>
      <c r="B34" s="8" t="inlineStr">
        <is>
          <t>Hardin, C.</t>
        </is>
      </c>
      <c r="C34" s="7" t="inlineStr">
        <is>
          <t>2026</t>
        </is>
      </c>
      <c r="D34" s="8" t="inlineStr">
        <is>
          <t>Governor DeSantis Directs Florida State Agencies to Partner with FLI to Shield Families from AI Harm</t>
        </is>
      </c>
      <c r="E34" s="8" t="inlineStr">
        <is>
          <t>Future of Life Institute</t>
        </is>
      </c>
      <c r="F34" s="7" t="inlineStr">
        <is>
          <t>press_release</t>
        </is>
      </c>
      <c r="G34" s="7" t="inlineStr">
        <is>
          <t>FL</t>
        </is>
      </c>
      <c r="H34" s="7" t="inlineStr"/>
      <c r="I34" s="9" t="inlineStr">
        <is>
          <t>https://futureoflife.org/press-release/desantis-directs-florida-agencies-to-partner-with-fli/</t>
        </is>
      </c>
    </row>
    <row r="35">
      <c r="A35" s="10" t="inlineStr">
        <is>
          <t>mo_hb1746_test</t>
        </is>
      </c>
      <c r="B35" s="11" t="inlineStr">
        <is>
          <t>HB 1746 testimony before the Missouri House Emerging Issues Committee</t>
        </is>
      </c>
      <c r="C35" s="10" t="inlineStr">
        <is>
          <t>2026</t>
        </is>
      </c>
      <c r="D35" s="11" t="inlineStr">
        <is>
          <t>Committee testimony record</t>
        </is>
      </c>
      <c r="E35" s="11" t="inlineStr">
        <is>
          <t>Missouri House of Representatives</t>
        </is>
      </c>
      <c r="F35" s="10" t="inlineStr">
        <is>
          <t>testimony</t>
        </is>
      </c>
      <c r="G35" s="10" t="inlineStr">
        <is>
          <t>MO</t>
        </is>
      </c>
      <c r="H35" s="10" t="inlineStr">
        <is>
          <t>HB 1746</t>
        </is>
      </c>
      <c r="I35" s="12" t="inlineStr">
        <is>
          <t>https://documents.house.mo.gov/billtracking/bills261/witnesses/HB1746Testimony2-2.pdf</t>
        </is>
      </c>
    </row>
    <row r="36">
      <c r="A36" s="7" t="inlineStr">
        <is>
          <t>mo_hb1769_test</t>
        </is>
      </c>
      <c r="B36" s="8" t="inlineStr">
        <is>
          <t>HB 1769 testimony before the Missouri House Emerging Issues Committee</t>
        </is>
      </c>
      <c r="C36" s="7" t="inlineStr">
        <is>
          <t>2026</t>
        </is>
      </c>
      <c r="D36" s="8" t="inlineStr">
        <is>
          <t>Committee testimony record</t>
        </is>
      </c>
      <c r="E36" s="8" t="inlineStr">
        <is>
          <t>Missouri House of Representatives</t>
        </is>
      </c>
      <c r="F36" s="7" t="inlineStr">
        <is>
          <t>testimony</t>
        </is>
      </c>
      <c r="G36" s="7" t="inlineStr">
        <is>
          <t>MO</t>
        </is>
      </c>
      <c r="H36" s="7" t="inlineStr">
        <is>
          <t>HB 1769</t>
        </is>
      </c>
      <c r="I36" s="9" t="inlineStr">
        <is>
          <t>https://documents.house.mo.gov/billtracking/bills261/witnesses/HB1769Testimony2-2.pdf</t>
        </is>
      </c>
    </row>
    <row r="37">
      <c r="A37" s="10" t="inlineStr">
        <is>
          <t>hill2022</t>
        </is>
      </c>
      <c r="B37" s="11" t="inlineStr">
        <is>
          <t>Hill, M.</t>
        </is>
      </c>
      <c r="C37" s="10" t="inlineStr">
        <is>
          <t>2022</t>
        </is>
      </c>
      <c r="D37" s="11" t="inlineStr">
        <is>
          <t>Court must decide if an elephant is a person</t>
        </is>
      </c>
      <c r="E37" s="11" t="inlineStr">
        <is>
          <t>Associated Press via KSL</t>
        </is>
      </c>
      <c r="F37" s="10" t="inlineStr">
        <is>
          <t>news</t>
        </is>
      </c>
      <c r="G37" s="10" t="inlineStr"/>
      <c r="H37" s="10" t="inlineStr"/>
      <c r="I37" s="12" t="inlineStr">
        <is>
          <t>https://www.ksl.com/article/50407168/court-must-decide-if-an-elephant-is-a-person</t>
        </is>
      </c>
    </row>
    <row r="38">
      <c r="A38" s="7" t="inlineStr">
        <is>
          <t>iff2022</t>
        </is>
      </c>
      <c r="B38" s="8" t="inlineStr">
        <is>
          <t>Idaho Freedom Foundation</t>
        </is>
      </c>
      <c r="C38" s="7" t="inlineStr">
        <is>
          <t>2022</t>
        </is>
      </c>
      <c r="D38" s="8" t="inlineStr">
        <is>
          <t>House Bill 720 - Personhood, animals, objects</t>
        </is>
      </c>
      <c r="E38" s="8" t="inlineStr">
        <is>
          <t>Idaho Freedom Foundation</t>
        </is>
      </c>
      <c r="F38" s="7" t="inlineStr">
        <is>
          <t>advocacy</t>
        </is>
      </c>
      <c r="G38" s="7" t="inlineStr">
        <is>
          <t>ID</t>
        </is>
      </c>
      <c r="H38" s="7" t="inlineStr">
        <is>
          <t>HB 720</t>
        </is>
      </c>
      <c r="I38" s="9" t="inlineStr">
        <is>
          <t>https://idahofreedom.org/house-bill-720-personhood-animals-objects/</t>
        </is>
      </c>
    </row>
    <row r="39">
      <c r="A39" s="10" t="inlineStr">
        <is>
          <t>littleton_nd</t>
        </is>
      </c>
      <c r="B39" s="11" t="inlineStr">
        <is>
          <t>Littleton, M.</t>
        </is>
      </c>
      <c r="C39" s="10" t="inlineStr">
        <is>
          <t>n.d.</t>
        </is>
      </c>
      <c r="D39" s="11" t="inlineStr">
        <is>
          <t>Tennessee House of Representatives member page</t>
        </is>
      </c>
      <c r="E39" s="11" t="inlineStr">
        <is>
          <t>Tennessee General Assembly</t>
        </is>
      </c>
      <c r="F39" s="10" t="inlineStr">
        <is>
          <t>member_page</t>
        </is>
      </c>
      <c r="G39" s="10" t="inlineStr">
        <is>
          <t>TN</t>
        </is>
      </c>
      <c r="H39" s="10" t="inlineStr">
        <is>
          <t>HB 1455</t>
        </is>
      </c>
      <c r="I39" s="12" t="inlineStr">
        <is>
          <t>https://wapp.capitol.tn.gov/apps/LegislatorInfo/member?district=h78</t>
        </is>
      </c>
    </row>
    <row r="40">
      <c r="A40" s="7" t="inlineStr">
        <is>
          <t>maisonnave2023</t>
        </is>
      </c>
      <c r="B40" s="8" t="inlineStr">
        <is>
          <t>Maisonnave et al.</t>
        </is>
      </c>
      <c r="C40" s="7" t="inlineStr">
        <is>
          <t>2023</t>
        </is>
      </c>
      <c r="D40" s="8" t="inlineStr">
        <is>
          <t>Indigenous leader inspires an Amazon city to grant personhood to an endangered river</t>
        </is>
      </c>
      <c r="E40" s="8" t="inlineStr">
        <is>
          <t>AP News</t>
        </is>
      </c>
      <c r="F40" s="7" t="inlineStr">
        <is>
          <t>news</t>
        </is>
      </c>
      <c r="G40" s="7" t="inlineStr"/>
      <c r="H40" s="7" t="inlineStr"/>
      <c r="I40" s="9" t="inlineStr">
        <is>
          <t>https://apnews.com/article/brazil-amazon-wari-indigenous-nature-rights-deforestation-68af65663fb7bd1b9d2051ce10c17a46</t>
        </is>
      </c>
    </row>
    <row r="41">
      <c r="A41" s="10" t="inlineStr">
        <is>
          <t>massey_nd</t>
        </is>
      </c>
      <c r="B41" s="11" t="inlineStr">
        <is>
          <t>Massey, B.</t>
        </is>
      </c>
      <c r="C41" s="10" t="inlineStr">
        <is>
          <t>n.d.</t>
        </is>
      </c>
      <c r="D41" s="11" t="inlineStr">
        <is>
          <t>Tennessee Senate member page</t>
        </is>
      </c>
      <c r="E41" s="11" t="inlineStr">
        <is>
          <t>Tennessee General Assembly</t>
        </is>
      </c>
      <c r="F41" s="10" t="inlineStr">
        <is>
          <t>member_page</t>
        </is>
      </c>
      <c r="G41" s="10" t="inlineStr">
        <is>
          <t>TN</t>
        </is>
      </c>
      <c r="H41" s="10" t="inlineStr">
        <is>
          <t>SB 1493</t>
        </is>
      </c>
      <c r="I41" s="12" t="inlineStr">
        <is>
          <t>https://www.capitol.tn.gov/senate/archives/107GA/members/s6.html</t>
        </is>
      </c>
    </row>
    <row r="42">
      <c r="A42" s="7" t="inlineStr">
        <is>
          <t>mnhrd_nd</t>
        </is>
      </c>
      <c r="B42" s="8" t="inlineStr">
        <is>
          <t>Minnesota House Research Department</t>
        </is>
      </c>
      <c r="C42" s="7" t="inlineStr">
        <is>
          <t>n.d.</t>
        </is>
      </c>
      <c r="D42" s="8" t="inlineStr">
        <is>
          <t>State Constitutional Amendments</t>
        </is>
      </c>
      <c r="E42" s="8" t="inlineStr">
        <is>
          <t>Minnesota House Research</t>
        </is>
      </c>
      <c r="F42" s="7" t="inlineStr">
        <is>
          <t>gov_reference</t>
        </is>
      </c>
      <c r="G42" s="7" t="inlineStr">
        <is>
          <t>MN</t>
        </is>
      </c>
      <c r="H42" s="7" t="inlineStr">
        <is>
          <t>SF 4114</t>
        </is>
      </c>
      <c r="I42" s="9" t="inlineStr">
        <is>
          <t>https://www.house.mn.gov/hrd/pubs/ss/ssconamend.pdf</t>
        </is>
      </c>
    </row>
    <row r="43">
      <c r="A43" s="10" t="inlineStr">
        <is>
          <t>mbca</t>
        </is>
      </c>
      <c r="B43" s="11" t="inlineStr">
        <is>
          <t>Model Business Corporation Act</t>
        </is>
      </c>
      <c r="C43" s="10" t="inlineStr">
        <is>
          <t>n.d.</t>
        </is>
      </c>
      <c r="D43" s="11" t="inlineStr">
        <is>
          <t>Section 3.02</t>
        </is>
      </c>
      <c r="E43" s="11" t="inlineStr">
        <is>
          <t>-</t>
        </is>
      </c>
      <c r="F43" s="10" t="inlineStr">
        <is>
          <t>legal_doc</t>
        </is>
      </c>
      <c r="G43" s="10" t="inlineStr"/>
      <c r="H43" s="10" t="inlineStr"/>
      <c r="I43" s="12" t="inlineStr">
        <is>
          <t>https://www.lexisnexis.com/documents/pdf/20080618091347_large.pdf</t>
        </is>
      </c>
    </row>
    <row r="44">
      <c r="A44" s="7" t="inlineStr">
        <is>
          <t>nichols2025a</t>
        </is>
      </c>
      <c r="B44" s="8" t="inlineStr">
        <is>
          <t>Nichols, T.</t>
        </is>
      </c>
      <c r="C44" s="7" t="inlineStr">
        <is>
          <t>2025</t>
        </is>
      </c>
      <c r="D44" s="8" t="inlineStr">
        <is>
          <t>AI, States' Rights, and My Visit to WallBuilders</t>
        </is>
      </c>
      <c r="E44" s="8" t="inlineStr">
        <is>
          <t>Nichols for Idaho (Substack)</t>
        </is>
      </c>
      <c r="F44" s="7" t="inlineStr">
        <is>
          <t>blog</t>
        </is>
      </c>
      <c r="G44" s="7" t="inlineStr">
        <is>
          <t>ID</t>
        </is>
      </c>
      <c r="H44" s="7" t="inlineStr">
        <is>
          <t>HB 720</t>
        </is>
      </c>
      <c r="I44" s="9" t="inlineStr">
        <is>
          <t>https://nicholsforidaho.substack.com/p/ai-states-rights-and-my-visit-to</t>
        </is>
      </c>
    </row>
    <row r="45">
      <c r="A45" s="10" t="inlineStr">
        <is>
          <t>nichols2025b</t>
        </is>
      </c>
      <c r="B45" s="11" t="inlineStr">
        <is>
          <t>Nichols, T.</t>
        </is>
      </c>
      <c r="C45" s="10" t="inlineStr">
        <is>
          <t>2025</t>
        </is>
      </c>
      <c r="D45" s="11" t="inlineStr">
        <is>
          <t>AI, States' Rights, and the Most Basic Property Right: Owning Yourself</t>
        </is>
      </c>
      <c r="E45" s="11" t="inlineStr">
        <is>
          <t>Nichols for Idaho (Substack)</t>
        </is>
      </c>
      <c r="F45" s="10" t="inlineStr">
        <is>
          <t>blog</t>
        </is>
      </c>
      <c r="G45" s="10" t="inlineStr">
        <is>
          <t>ID</t>
        </is>
      </c>
      <c r="H45" s="10" t="inlineStr">
        <is>
          <t>HB 720</t>
        </is>
      </c>
      <c r="I45" s="12" t="inlineStr">
        <is>
          <t>https://nicholsforidaho.substack.com/p/ai-states-rights-and-the-most-basic</t>
        </is>
      </c>
    </row>
    <row r="46">
      <c r="A46" s="7" t="inlineStr">
        <is>
          <t>nhrp2025</t>
        </is>
      </c>
      <c r="B46" s="8" t="inlineStr">
        <is>
          <t>Nonhuman Rights Project</t>
        </is>
      </c>
      <c r="C46" s="7" t="inlineStr">
        <is>
          <t>2025</t>
        </is>
      </c>
      <c r="D46" s="8" t="inlineStr">
        <is>
          <t>NhRP argues Utah court must allow HB 249 lawsuit to proceed</t>
        </is>
      </c>
      <c r="E46" s="8" t="inlineStr">
        <is>
          <t>Nonhuman Rights Project</t>
        </is>
      </c>
      <c r="F46" s="7" t="inlineStr">
        <is>
          <t>advocacy</t>
        </is>
      </c>
      <c r="G46" s="7" t="inlineStr">
        <is>
          <t>UT</t>
        </is>
      </c>
      <c r="H46" s="7" t="inlineStr">
        <is>
          <t>HB 249</t>
        </is>
      </c>
      <c r="I46" s="9" t="inlineStr">
        <is>
          <t>https://www.nonhumanrights.org/blog/hb249-lawsuit-nhrp/</t>
        </is>
      </c>
    </row>
    <row r="47">
      <c r="A47" s="10" t="inlineStr">
        <is>
          <t>ndcan2023</t>
        </is>
      </c>
      <c r="B47" s="11" t="inlineStr">
        <is>
          <t>North Dakota Can</t>
        </is>
      </c>
      <c r="C47" s="10" t="inlineStr">
        <is>
          <t>2023</t>
        </is>
      </c>
      <c r="D47" s="11" t="inlineStr">
        <is>
          <t>HB 1361 - Definition of Personhood</t>
        </is>
      </c>
      <c r="E47" s="11" t="inlineStr">
        <is>
          <t>North Dakota Can</t>
        </is>
      </c>
      <c r="F47" s="10" t="inlineStr">
        <is>
          <t>advocacy</t>
        </is>
      </c>
      <c r="G47" s="10" t="inlineStr">
        <is>
          <t>ND</t>
        </is>
      </c>
      <c r="H47" s="10" t="inlineStr">
        <is>
          <t>HB 1361</t>
        </is>
      </c>
      <c r="I47" s="12" t="inlineStr">
        <is>
          <t>https://ndcan.org/house-bill-1361</t>
        </is>
      </c>
    </row>
    <row r="48">
      <c r="A48" s="7" t="inlineStr">
        <is>
          <t>ndcan_nd</t>
        </is>
      </c>
      <c r="B48" s="8" t="inlineStr">
        <is>
          <t>North Dakota Can</t>
        </is>
      </c>
      <c r="C48" s="7" t="inlineStr">
        <is>
          <t>n.d.</t>
        </is>
      </c>
      <c r="D48" s="8" t="inlineStr">
        <is>
          <t>About</t>
        </is>
      </c>
      <c r="E48" s="8" t="inlineStr">
        <is>
          <t>North Dakota Can</t>
        </is>
      </c>
      <c r="F48" s="7" t="inlineStr">
        <is>
          <t>advocacy</t>
        </is>
      </c>
      <c r="G48" s="7" t="inlineStr">
        <is>
          <t>ND</t>
        </is>
      </c>
      <c r="H48" s="7" t="inlineStr"/>
      <c r="I48" s="9" t="inlineStr">
        <is>
          <t>https://ndcan.org/about</t>
        </is>
      </c>
    </row>
    <row r="49">
      <c r="A49" s="10" t="inlineStr">
        <is>
          <t>ndfa_nd</t>
        </is>
      </c>
      <c r="B49" s="11" t="inlineStr">
        <is>
          <t>North Dakota Family Alliance</t>
        </is>
      </c>
      <c r="C49" s="10" t="inlineStr">
        <is>
          <t>n.d.</t>
        </is>
      </c>
      <c r="D49" s="11" t="inlineStr">
        <is>
          <t>North Dakota Family Alliance</t>
        </is>
      </c>
      <c r="E49" s="11" t="inlineStr">
        <is>
          <t>NDFA</t>
        </is>
      </c>
      <c r="F49" s="10" t="inlineStr">
        <is>
          <t>advocacy</t>
        </is>
      </c>
      <c r="G49" s="10" t="inlineStr">
        <is>
          <t>ND</t>
        </is>
      </c>
      <c r="H49" s="10" t="inlineStr">
        <is>
          <t>HB 1361</t>
        </is>
      </c>
      <c r="I49" s="12" t="inlineStr">
        <is>
          <t>https://www.ndfamilyalliance.org/</t>
        </is>
      </c>
    </row>
    <row r="50">
      <c r="A50" s="7" t="inlineStr">
        <is>
          <t>ndleg2023</t>
        </is>
      </c>
      <c r="B50" s="8" t="inlineStr">
        <is>
          <t>North Dakota Legislative Assembly</t>
        </is>
      </c>
      <c r="C50" s="7" t="inlineStr">
        <is>
          <t>2023</t>
        </is>
      </c>
      <c r="D50" s="8" t="inlineStr">
        <is>
          <t>Testimony on and hearing materials on HB 1361</t>
        </is>
      </c>
      <c r="E50" s="8" t="inlineStr">
        <is>
          <t>North Dakota Legislative Assembly</t>
        </is>
      </c>
      <c r="F50" s="7" t="inlineStr">
        <is>
          <t>testimony</t>
        </is>
      </c>
      <c r="G50" s="7" t="inlineStr">
        <is>
          <t>ND</t>
        </is>
      </c>
      <c r="H50" s="7" t="inlineStr">
        <is>
          <t>HB 1361</t>
        </is>
      </c>
      <c r="I50" s="9" t="inlineStr">
        <is>
          <t>https://ndlegis.gov/sites/default/files/resource/68-2023/library/hb1361.pdf</t>
        </is>
      </c>
    </row>
    <row r="51">
      <c r="A51" s="10" t="inlineStr">
        <is>
          <t>ndleg2025</t>
        </is>
      </c>
      <c r="B51" s="11" t="inlineStr">
        <is>
          <t>North Dakota Legislative Assembly</t>
        </is>
      </c>
      <c r="C51" s="10" t="inlineStr">
        <is>
          <t>2025</t>
        </is>
      </c>
      <c r="D51" s="11" t="inlineStr">
        <is>
          <t>North Dakota HB 1145 Bill Text</t>
        </is>
      </c>
      <c r="E51" s="11" t="inlineStr">
        <is>
          <t>North Dakota Legislative Assembly</t>
        </is>
      </c>
      <c r="F51" s="10" t="inlineStr">
        <is>
          <t>legal_doc</t>
        </is>
      </c>
      <c r="G51" s="10" t="inlineStr">
        <is>
          <t>ND</t>
        </is>
      </c>
      <c r="H51" s="10" t="inlineStr">
        <is>
          <t>HB 1145</t>
        </is>
      </c>
      <c r="I51" s="12" t="inlineStr">
        <is>
          <t>https://ndlegis.gov/sites/default/files/resource/69-2025/library/hb1145.pdf</t>
        </is>
      </c>
    </row>
    <row r="52">
      <c r="A52" s="7" t="inlineStr">
        <is>
          <t>ohiohouse_nd</t>
        </is>
      </c>
      <c r="B52" s="8" t="inlineStr">
        <is>
          <t>Ohio House of Representatives</t>
        </is>
      </c>
      <c r="C52" s="7" t="inlineStr">
        <is>
          <t>n.d.</t>
        </is>
      </c>
      <c r="D52" s="8" t="inlineStr">
        <is>
          <t>HB 469, 135th General Assembly</t>
        </is>
      </c>
      <c r="E52" s="8" t="inlineStr">
        <is>
          <t>Ohio House Technology and Innovation Cttee</t>
        </is>
      </c>
      <c r="F52" s="7" t="inlineStr">
        <is>
          <t>gov_reference</t>
        </is>
      </c>
      <c r="G52" s="7" t="inlineStr">
        <is>
          <t>OH</t>
        </is>
      </c>
      <c r="H52" s="7" t="inlineStr">
        <is>
          <t>HB 469</t>
        </is>
      </c>
      <c r="I52" s="9" t="inlineStr">
        <is>
          <t>https://ohiohouse.gov/committees/technology-and-innovation/bills/hb469</t>
        </is>
      </c>
    </row>
    <row r="53">
      <c r="A53" s="10" t="inlineStr">
        <is>
          <t>perrigo2025</t>
        </is>
      </c>
      <c r="B53" s="11" t="inlineStr">
        <is>
          <t>Perrigo, B.; Chow, A.</t>
        </is>
      </c>
      <c r="C53" s="10" t="inlineStr">
        <is>
          <t>2025</t>
        </is>
      </c>
      <c r="D53" s="11" t="inlineStr">
        <is>
          <t>Senators Reject 10-Year Ban on State-Level AI Regulation</t>
        </is>
      </c>
      <c r="E53" s="11" t="inlineStr">
        <is>
          <t>Time</t>
        </is>
      </c>
      <c r="F53" s="10" t="inlineStr">
        <is>
          <t>news</t>
        </is>
      </c>
      <c r="G53" s="10" t="inlineStr"/>
      <c r="H53" s="10" t="inlineStr"/>
      <c r="I53" s="12" t="inlineStr">
        <is>
          <t>https://time.com/7299044/senators-reject-10-year-ban-on-state-level-ai-regulation-in-blow-to-big-tech/</t>
        </is>
      </c>
    </row>
    <row r="54">
      <c r="A54" s="7" t="inlineStr">
        <is>
          <t>peta2024</t>
        </is>
      </c>
      <c r="B54" s="8" t="inlineStr">
        <is>
          <t>PETA</t>
        </is>
      </c>
      <c r="C54" s="7" t="inlineStr">
        <is>
          <t>2024</t>
        </is>
      </c>
      <c r="D54" s="8" t="inlineStr">
        <is>
          <t>'Tilikum v. SeaWorld' Case Summary</t>
        </is>
      </c>
      <c r="E54" s="8" t="inlineStr">
        <is>
          <t>PETA</t>
        </is>
      </c>
      <c r="F54" s="7" t="inlineStr">
        <is>
          <t>advocacy</t>
        </is>
      </c>
      <c r="G54" s="7" t="inlineStr"/>
      <c r="H54" s="7" t="inlineStr"/>
      <c r="I54" s="9" t="inlineStr">
        <is>
          <t>https://www.peta.org/features/peta-foundation-legal/case-summaries/tilikum-v-seaworld/</t>
        </is>
      </c>
    </row>
    <row r="55">
      <c r="A55" s="10" t="inlineStr">
        <is>
          <t>pwh_nd</t>
        </is>
      </c>
      <c r="B55" s="11" t="inlineStr">
        <is>
          <t>Protect What's Human</t>
        </is>
      </c>
      <c r="C55" s="10" t="inlineStr">
        <is>
          <t>n.d.</t>
        </is>
      </c>
      <c r="D55" s="11" t="inlineStr">
        <is>
          <t>Protect What's Human</t>
        </is>
      </c>
      <c r="E55" s="11" t="inlineStr">
        <is>
          <t>Organisation site</t>
        </is>
      </c>
      <c r="F55" s="10" t="inlineStr">
        <is>
          <t>advocacy</t>
        </is>
      </c>
      <c r="G55" s="10" t="inlineStr"/>
      <c r="H55" s="10" t="inlineStr"/>
      <c r="I55" s="12" t="inlineStr">
        <is>
          <t>https://protectwhatshuman.org/</t>
        </is>
      </c>
    </row>
    <row r="56">
      <c r="A56" s="7" t="inlineStr">
        <is>
          <t>roche2024</t>
        </is>
      </c>
      <c r="B56" s="8" t="inlineStr">
        <is>
          <t>Roche, L. R.</t>
        </is>
      </c>
      <c r="C56" s="7" t="inlineStr">
        <is>
          <t>2024</t>
        </is>
      </c>
      <c r="D56" s="8" t="inlineStr">
        <is>
          <t>No 'legal personhood' for the Great Salt Lake, Utah legislative committee decides</t>
        </is>
      </c>
      <c r="E56" s="8" t="inlineStr">
        <is>
          <t>Deseret News</t>
        </is>
      </c>
      <c r="F56" s="7" t="inlineStr">
        <is>
          <t>news</t>
        </is>
      </c>
      <c r="G56" s="7" t="inlineStr">
        <is>
          <t>UT</t>
        </is>
      </c>
      <c r="H56" s="7" t="inlineStr">
        <is>
          <t>HB 249</t>
        </is>
      </c>
      <c r="I56" s="9" t="inlineStr">
        <is>
          <t>https://www.deseret.com/utah/2024/1/23/24048098/great-salt-lake-legal-personhood-utah-legislature/</t>
        </is>
      </c>
    </row>
    <row r="57">
      <c r="A57" s="10" t="inlineStr">
        <is>
          <t>romero2024</t>
        </is>
      </c>
      <c r="B57" s="11" t="inlineStr">
        <is>
          <t>Romero, M.</t>
        </is>
      </c>
      <c r="C57" s="10" t="inlineStr">
        <is>
          <t>2024</t>
        </is>
      </c>
      <c r="D57" s="11" t="inlineStr">
        <is>
          <t>Denying Great Salt Lake 'personhood' closes an option for saving the lake, Utahns say</t>
        </is>
      </c>
      <c r="E57" s="11" t="inlineStr">
        <is>
          <t>Utah News Dispatch</t>
        </is>
      </c>
      <c r="F57" s="10" t="inlineStr">
        <is>
          <t>news</t>
        </is>
      </c>
      <c r="G57" s="10" t="inlineStr">
        <is>
          <t>UT</t>
        </is>
      </c>
      <c r="H57" s="10" t="inlineStr">
        <is>
          <t>HB 249</t>
        </is>
      </c>
      <c r="I57" s="12" t="inlineStr">
        <is>
          <t>https://utahnewsdispatch.com/2024/01/23/great-salt-lake-personhood-bill/</t>
        </is>
      </c>
    </row>
    <row r="58">
      <c r="A58" s="7" t="inlineStr">
        <is>
          <t>roy2017</t>
        </is>
      </c>
      <c r="B58" s="8" t="inlineStr">
        <is>
          <t>Roy, E. A.</t>
        </is>
      </c>
      <c r="C58" s="7" t="inlineStr">
        <is>
          <t>2017</t>
        </is>
      </c>
      <c r="D58" s="8" t="inlineStr">
        <is>
          <t>New Zealand river granted same legal rights as human being</t>
        </is>
      </c>
      <c r="E58" s="8" t="inlineStr">
        <is>
          <t>The Guardian</t>
        </is>
      </c>
      <c r="F58" s="7" t="inlineStr">
        <is>
          <t>news</t>
        </is>
      </c>
      <c r="G58" s="7" t="inlineStr"/>
      <c r="H58" s="7" t="inlineStr"/>
      <c r="I58" s="9" t="inlineStr">
        <is>
          <t>https://www.theguardian.com/world/2017/mar/16/new-zealand-river-granted-same-legal-rights-as-human-being</t>
        </is>
      </c>
    </row>
    <row r="59">
      <c r="A59" s="10" t="inlineStr">
        <is>
          <t>sogsl_nd</t>
        </is>
      </c>
      <c r="B59" s="11" t="inlineStr">
        <is>
          <t>Save Our Great Salt Lake</t>
        </is>
      </c>
      <c r="C59" s="10" t="inlineStr">
        <is>
          <t>n.d.</t>
        </is>
      </c>
      <c r="D59" s="11" t="inlineStr">
        <is>
          <t>HOME</t>
        </is>
      </c>
      <c r="E59" s="11" t="inlineStr">
        <is>
          <t>Organisation site</t>
        </is>
      </c>
      <c r="F59" s="10" t="inlineStr">
        <is>
          <t>advocacy</t>
        </is>
      </c>
      <c r="G59" s="10" t="inlineStr">
        <is>
          <t>UT</t>
        </is>
      </c>
      <c r="H59" s="10" t="inlineStr">
        <is>
          <t>HB 249</t>
        </is>
      </c>
      <c r="I59" s="12" t="inlineStr">
        <is>
          <t>https://www.saveourgreatsaltlake.org/</t>
        </is>
      </c>
    </row>
    <row r="60">
      <c r="A60" s="7" t="inlineStr">
        <is>
          <t>tn_sa0922</t>
        </is>
      </c>
      <c r="B60" s="8" t="inlineStr">
        <is>
          <t>SB 837 amendment no. 1 (SA0922)</t>
        </is>
      </c>
      <c r="C60" s="7" t="inlineStr">
        <is>
          <t>2026</t>
        </is>
      </c>
      <c r="D60" s="8" t="inlineStr">
        <is>
          <t>114th Gen. Assemb., 1st Reg. Sess. (Tenn.)</t>
        </is>
      </c>
      <c r="E60" s="8" t="inlineStr">
        <is>
          <t>Tennessee General Assembly</t>
        </is>
      </c>
      <c r="F60" s="7" t="inlineStr">
        <is>
          <t>legal_doc</t>
        </is>
      </c>
      <c r="G60" s="7" t="inlineStr">
        <is>
          <t>TN</t>
        </is>
      </c>
      <c r="H60" s="7" t="inlineStr">
        <is>
          <t>HB 849 / SB 837</t>
        </is>
      </c>
      <c r="I60" s="9" t="inlineStr">
        <is>
          <t>https://www.capitol.tn.gov/Bills/114/Amend/SA0922.pdf</t>
        </is>
      </c>
    </row>
    <row r="61">
      <c r="A61" s="10" t="inlineStr">
        <is>
          <t>scott2025</t>
        </is>
      </c>
      <c r="B61" s="11" t="inlineStr">
        <is>
          <t>Scott, C.</t>
        </is>
      </c>
      <c r="C61" s="10" t="inlineStr">
        <is>
          <t>2025</t>
        </is>
      </c>
      <c r="D61" s="11" t="inlineStr">
        <is>
          <t>Testimony on Ohio HB 469</t>
        </is>
      </c>
      <c r="E61" s="11" t="inlineStr">
        <is>
          <t>Ohio House of Representatives</t>
        </is>
      </c>
      <c r="F61" s="10" t="inlineStr">
        <is>
          <t>testimony</t>
        </is>
      </c>
      <c r="G61" s="10" t="inlineStr">
        <is>
          <t>OH</t>
        </is>
      </c>
      <c r="H61" s="10" t="inlineStr">
        <is>
          <t>HB 469</t>
        </is>
      </c>
      <c r="I61" s="12" t="inlineStr">
        <is>
          <t>https://ohiohouse.gov/committees/technology-and-innovation/bills/hb469</t>
        </is>
      </c>
    </row>
    <row r="62">
      <c r="A62" s="7" t="inlineStr">
        <is>
          <t>saet_nd</t>
        </is>
      </c>
      <c r="B62" s="8" t="inlineStr">
        <is>
          <t>Society for Ancient and Evangelical Theology</t>
        </is>
      </c>
      <c r="C62" s="7" t="inlineStr">
        <is>
          <t>n.d.</t>
        </is>
      </c>
      <c r="D62" s="8" t="inlineStr">
        <is>
          <t>Image of God (Imago Dei)</t>
        </is>
      </c>
      <c r="E62" s="8" t="inlineStr">
        <is>
          <t>SAET</t>
        </is>
      </c>
      <c r="F62" s="7" t="inlineStr">
        <is>
          <t>primary_religious</t>
        </is>
      </c>
      <c r="G62" s="7" t="inlineStr"/>
      <c r="H62" s="7" t="inlineStr"/>
      <c r="I62" s="9" t="inlineStr">
        <is>
          <t>https://www.saet.ac.uk/Christianity/ImageofGod</t>
        </is>
      </c>
    </row>
    <row r="63">
      <c r="A63" s="10" t="inlineStr">
        <is>
          <t>steinhauser_bio</t>
        </is>
      </c>
      <c r="B63" s="11" t="inlineStr">
        <is>
          <t>Steinhauser, B.</t>
        </is>
      </c>
      <c r="C63" s="10" t="inlineStr">
        <is>
          <t>n.d.</t>
        </is>
      </c>
      <c r="D63" s="11" t="inlineStr">
        <is>
          <t>Brendan Steinhauser - Public Affairs and Communications Strategist</t>
        </is>
      </c>
      <c r="E63" s="11" t="inlineStr">
        <is>
          <t>LinkedIn</t>
        </is>
      </c>
      <c r="F63" s="10" t="inlineStr">
        <is>
          <t>bio</t>
        </is>
      </c>
      <c r="G63" s="10" t="inlineStr"/>
      <c r="H63" s="10" t="inlineStr"/>
      <c r="I63" s="12" t="inlineStr">
        <is>
          <t>https://www.linkedin.com/in/brendanstteinhauser/details/experience/</t>
        </is>
      </c>
    </row>
    <row r="64">
      <c r="A64" s="7" t="inlineStr">
        <is>
          <t>steinhauser2025</t>
        </is>
      </c>
      <c r="B64" s="8" t="inlineStr">
        <is>
          <t>Steinhauser, B.</t>
        </is>
      </c>
      <c r="C64" s="7" t="inlineStr">
        <is>
          <t>2025</t>
        </is>
      </c>
      <c r="D64" s="8" t="inlineStr">
        <is>
          <t>Protecting Human Agency: HB 469 Testimony</t>
        </is>
      </c>
      <c r="E64" s="8" t="inlineStr">
        <is>
          <t>Alliance for Secure AI Action</t>
        </is>
      </c>
      <c r="F64" s="7" t="inlineStr">
        <is>
          <t>testimony</t>
        </is>
      </c>
      <c r="G64" s="7" t="inlineStr">
        <is>
          <t>OH</t>
        </is>
      </c>
      <c r="H64" s="7" t="inlineStr">
        <is>
          <t>HB 469</t>
        </is>
      </c>
      <c r="I64" s="9" t="inlineStr">
        <is>
          <t>https://secureainow.org/ohiohb469/</t>
        </is>
      </c>
    </row>
    <row r="65">
      <c r="A65" s="10" t="inlineStr">
        <is>
          <t>tan2025</t>
        </is>
      </c>
      <c r="B65" s="11" t="inlineStr">
        <is>
          <t>Tan, G.</t>
        </is>
      </c>
      <c r="C65" s="10" t="inlineStr">
        <is>
          <t>2025</t>
        </is>
      </c>
      <c r="D65" s="11" t="inlineStr">
        <is>
          <t>Tweet: TN SB 1493 is a case study in the idiocy that will destroy AI innovation in America</t>
        </is>
      </c>
      <c r="E65" s="11" t="inlineStr">
        <is>
          <t>X (Twitter)</t>
        </is>
      </c>
      <c r="F65" s="10" t="inlineStr">
        <is>
          <t>social</t>
        </is>
      </c>
      <c r="G65" s="10" t="inlineStr">
        <is>
          <t>TN</t>
        </is>
      </c>
      <c r="H65" s="10" t="inlineStr">
        <is>
          <t>HB 1455 / SB 1493</t>
        </is>
      </c>
      <c r="I65" s="12" t="inlineStr">
        <is>
          <t>https://x.com/garrytan/status/2005002574697824594</t>
        </is>
      </c>
    </row>
    <row r="66">
      <c r="A66" s="7" t="inlineStr">
        <is>
          <t>technet_nd</t>
        </is>
      </c>
      <c r="B66" s="8" t="inlineStr">
        <is>
          <t>TechNet</t>
        </is>
      </c>
      <c r="C66" s="7" t="inlineStr">
        <is>
          <t>n.d.</t>
        </is>
      </c>
      <c r="D66" s="8" t="inlineStr">
        <is>
          <t>TechNet - The Voice of American Innovation</t>
        </is>
      </c>
      <c r="E66" s="8" t="inlineStr">
        <is>
          <t>TechNet</t>
        </is>
      </c>
      <c r="F66" s="7" t="inlineStr">
        <is>
          <t>advocacy</t>
        </is>
      </c>
      <c r="G66" s="7" t="inlineStr"/>
      <c r="H66" s="7" t="inlineStr"/>
      <c r="I66" s="9" t="inlineStr">
        <is>
          <t>https://www.technet.org/</t>
        </is>
      </c>
    </row>
    <row r="67">
      <c r="A67" s="10" t="inlineStr">
        <is>
          <t>tn_ha1260</t>
        </is>
      </c>
      <c r="B67" s="11" t="inlineStr">
        <is>
          <t>Tennessee Amendment No. 4 to HB 1455 / SB 1493 (HA1260)</t>
        </is>
      </c>
      <c r="C67" s="10" t="inlineStr">
        <is>
          <t>2026</t>
        </is>
      </c>
      <c r="D67" s="11" t="inlineStr">
        <is>
          <t>114th Gen. Assemb., 1st Reg. Sess.</t>
        </is>
      </c>
      <c r="E67" s="11" t="inlineStr">
        <is>
          <t>Tennessee General Assembly</t>
        </is>
      </c>
      <c r="F67" s="10" t="inlineStr">
        <is>
          <t>legal_doc</t>
        </is>
      </c>
      <c r="G67" s="10" t="inlineStr">
        <is>
          <t>TN</t>
        </is>
      </c>
      <c r="H67" s="10" t="inlineStr">
        <is>
          <t>HB 1455 / SB 1493</t>
        </is>
      </c>
      <c r="I67" s="12" t="inlineStr">
        <is>
          <t>https://capitol.tn.gov/Bills/114/Amend/HA1260.pdf</t>
        </is>
      </c>
    </row>
    <row r="68">
      <c r="A68" s="7" t="inlineStr">
        <is>
          <t>tnga_nd</t>
        </is>
      </c>
      <c r="B68" s="8" t="inlineStr">
        <is>
          <t>Tennessee General Assembly</t>
        </is>
      </c>
      <c r="C68" s="7" t="inlineStr">
        <is>
          <t>n.d.</t>
        </is>
      </c>
      <c r="D68" s="8" t="inlineStr">
        <is>
          <t>Tennessee Code Annotated Section 40-35-111</t>
        </is>
      </c>
      <c r="E68" s="8" t="inlineStr">
        <is>
          <t>Tennessee General Assembly</t>
        </is>
      </c>
      <c r="F68" s="7" t="inlineStr">
        <is>
          <t>legal_doc</t>
        </is>
      </c>
      <c r="G68" s="7" t="inlineStr">
        <is>
          <t>TN</t>
        </is>
      </c>
      <c r="H68" s="7" t="inlineStr">
        <is>
          <t>HB 1455</t>
        </is>
      </c>
      <c r="I68" s="9" t="inlineStr">
        <is>
          <t>https://law.justia.com/codes/tennessee/title-40/chapter-35/part-1/section-40-35-111/</t>
        </is>
      </c>
    </row>
    <row r="69">
      <c r="A69" s="10" t="inlineStr">
        <is>
          <t>prohuman2026</t>
        </is>
      </c>
      <c r="B69" s="11" t="inlineStr">
        <is>
          <t>The Pro-Human AI Declaration</t>
        </is>
      </c>
      <c r="C69" s="10" t="inlineStr">
        <is>
          <t>2026</t>
        </is>
      </c>
      <c r="D69" s="11" t="inlineStr">
        <is>
          <t>The Pro-Human AI Declaration</t>
        </is>
      </c>
      <c r="E69" s="11" t="inlineStr">
        <is>
          <t>humanstatement.org</t>
        </is>
      </c>
      <c r="F69" s="10" t="inlineStr">
        <is>
          <t>advocacy</t>
        </is>
      </c>
      <c r="G69" s="10" t="inlineStr"/>
      <c r="H69" s="10" t="inlineStr"/>
      <c r="I69" s="12" t="inlineStr">
        <is>
          <t>https://humanstatement.org</t>
        </is>
      </c>
    </row>
    <row r="70">
      <c r="A70" s="7" t="inlineStr">
        <is>
          <t>whitehouse2025</t>
        </is>
      </c>
      <c r="B70" s="8" t="inlineStr">
        <is>
          <t>The White House</t>
        </is>
      </c>
      <c r="C70" s="7" t="inlineStr">
        <is>
          <t>2025</t>
        </is>
      </c>
      <c r="D70" s="8" t="inlineStr">
        <is>
          <t>White House Unveils America's AI Action Plan</t>
        </is>
      </c>
      <c r="E70" s="8" t="inlineStr">
        <is>
          <t>The White House</t>
        </is>
      </c>
      <c r="F70" s="7" t="inlineStr">
        <is>
          <t>press_release</t>
        </is>
      </c>
      <c r="G70" s="7" t="inlineStr"/>
      <c r="H70" s="7" t="inlineStr"/>
      <c r="I70" s="9" t="inlineStr">
        <is>
          <t>https://www.whitehouse.gov/articles/2025/07/white-house-unveils-americas-ai-action-plan/</t>
        </is>
      </c>
    </row>
    <row r="71">
      <c r="A71" s="10" t="inlineStr">
        <is>
          <t>ut_house2024</t>
        </is>
      </c>
      <c r="B71" s="11" t="inlineStr">
        <is>
          <t>Utah House Hearing</t>
        </is>
      </c>
      <c r="C71" s="10" t="inlineStr">
        <is>
          <t>2024</t>
        </is>
      </c>
      <c r="D71" s="11" t="inlineStr">
        <is>
          <t>Utah HB 249 House Hearing</t>
        </is>
      </c>
      <c r="E71" s="11" t="inlineStr">
        <is>
          <t>Utah State Legislature</t>
        </is>
      </c>
      <c r="F71" s="10" t="inlineStr">
        <is>
          <t>testimony</t>
        </is>
      </c>
      <c r="G71" s="10" t="inlineStr">
        <is>
          <t>UT</t>
        </is>
      </c>
      <c r="H71" s="10" t="inlineStr">
        <is>
          <t>HB 249</t>
        </is>
      </c>
      <c r="I71" s="12" t="inlineStr">
        <is>
          <t>https://le.utah.gov/av/committeeArchive.jsp?timelineID=241561</t>
        </is>
      </c>
    </row>
    <row r="72">
      <c r="A72" s="7" t="inlineStr">
        <is>
          <t>ut_senate2024</t>
        </is>
      </c>
      <c r="B72" s="8" t="inlineStr">
        <is>
          <t>Utah Senate Hearing</t>
        </is>
      </c>
      <c r="C72" s="7" t="inlineStr">
        <is>
          <t>2024</t>
        </is>
      </c>
      <c r="D72" s="8" t="inlineStr">
        <is>
          <t>Utah Senate Judiciary Committee - HB 249 Hearing</t>
        </is>
      </c>
      <c r="E72" s="8" t="inlineStr">
        <is>
          <t>Utah State Legislature</t>
        </is>
      </c>
      <c r="F72" s="7" t="inlineStr">
        <is>
          <t>testimony</t>
        </is>
      </c>
      <c r="G72" s="7" t="inlineStr">
        <is>
          <t>UT</t>
        </is>
      </c>
      <c r="H72" s="7" t="inlineStr">
        <is>
          <t>HB 249</t>
        </is>
      </c>
      <c r="I72" s="9" t="inlineStr">
        <is>
          <t>https://le.utah.gov/av/committeeArchive.jsp?timelineID=246931</t>
        </is>
      </c>
    </row>
    <row r="73">
      <c r="A73" s="10" t="inlineStr">
        <is>
          <t>wallbuilders2024</t>
        </is>
      </c>
      <c r="B73" s="11" t="inlineStr">
        <is>
          <t>WallBuilders</t>
        </is>
      </c>
      <c r="C73" s="10" t="inlineStr">
        <is>
          <t>2024</t>
        </is>
      </c>
      <c r="D73" s="11" t="inlineStr">
        <is>
          <t>WallBuilders 2024 Impact Report</t>
        </is>
      </c>
      <c r="E73" s="11" t="inlineStr">
        <is>
          <t>WallBuilders</t>
        </is>
      </c>
      <c r="F73" s="10" t="inlineStr">
        <is>
          <t>advocacy</t>
        </is>
      </c>
      <c r="G73" s="10" t="inlineStr"/>
      <c r="H73" s="10" t="inlineStr"/>
      <c r="I73" s="12" t="inlineStr">
        <is>
          <t>https://wallbuilders.com/wp-content/uploads/2024/12/2024-WallBuilders-Impact-Report.pdf</t>
        </is>
      </c>
    </row>
    <row r="74">
      <c r="A74" s="7" t="inlineStr">
        <is>
          <t>wallbuilders2025</t>
        </is>
      </c>
      <c r="B74" s="8" t="inlineStr">
        <is>
          <t>WallBuilders</t>
        </is>
      </c>
      <c r="C74" s="7" t="inlineStr">
        <is>
          <t>2025</t>
        </is>
      </c>
      <c r="D74" s="8" t="inlineStr">
        <is>
          <t>WallBuilders 2025 Impact Report</t>
        </is>
      </c>
      <c r="E74" s="8" t="inlineStr">
        <is>
          <t>WallBuilders</t>
        </is>
      </c>
      <c r="F74" s="7" t="inlineStr">
        <is>
          <t>advocacy</t>
        </is>
      </c>
      <c r="G74" s="7" t="inlineStr"/>
      <c r="H74" s="7" t="inlineStr"/>
      <c r="I74" s="9" t="inlineStr">
        <is>
          <t>https://wallbuilders.com/wp-content/uploads/2025/12/2025-WallBuilders-Impact-Report.pdf</t>
        </is>
      </c>
    </row>
    <row r="75">
      <c r="A75" s="10" t="inlineStr">
        <is>
          <t>wallbuilders_nd</t>
        </is>
      </c>
      <c r="B75" s="11" t="inlineStr">
        <is>
          <t>WallBuilders</t>
        </is>
      </c>
      <c r="C75" s="10" t="inlineStr">
        <is>
          <t>n.d.</t>
        </is>
      </c>
      <c r="D75" s="11" t="inlineStr">
        <is>
          <t>Preserve America's Heritage: Education, Resources and Events</t>
        </is>
      </c>
      <c r="E75" s="11" t="inlineStr">
        <is>
          <t>WallBuilders</t>
        </is>
      </c>
      <c r="F75" s="10" t="inlineStr">
        <is>
          <t>advocacy</t>
        </is>
      </c>
      <c r="G75" s="10" t="inlineStr"/>
      <c r="H75" s="10" t="inlineStr"/>
      <c r="I75" s="12" t="inlineStr">
        <is>
          <t>https://wallbuilders.com/</t>
        </is>
      </c>
    </row>
    <row r="76">
      <c r="A76" s="7" t="inlineStr">
        <is>
          <t>weller2017</t>
        </is>
      </c>
      <c r="B76" s="8" t="inlineStr">
        <is>
          <t>Weller, C.</t>
        </is>
      </c>
      <c r="C76" s="7" t="inlineStr">
        <is>
          <t>2017</t>
        </is>
      </c>
      <c r="D76" s="8" t="inlineStr">
        <is>
          <t>A robot has just been granted citizenship of Saudi Arabia</t>
        </is>
      </c>
      <c r="E76" s="8" t="inlineStr">
        <is>
          <t>World Economic Forum</t>
        </is>
      </c>
      <c r="F76" s="7" t="inlineStr">
        <is>
          <t>news</t>
        </is>
      </c>
      <c r="G76" s="7" t="inlineStr"/>
      <c r="H76" s="7" t="inlineStr"/>
      <c r="I76" s="9" t="inlineStr">
        <is>
          <t>https://www.weforum.org/stories/2017/10/a-robot-has-just-been-granted-citizenship-of-saudi-arabia/</t>
        </is>
      </c>
    </row>
    <row r="77">
      <c r="A77" s="10" t="inlineStr">
        <is>
          <t>weyand2025</t>
        </is>
      </c>
      <c r="B77" s="11" t="inlineStr">
        <is>
          <t>Weyand, Z.</t>
        </is>
      </c>
      <c r="C77" s="10" t="inlineStr">
        <is>
          <t>2025</t>
        </is>
      </c>
      <c r="D77" s="11" t="inlineStr">
        <is>
          <t>Ohio House Bill Introduced to Prohibit Personhood of AI</t>
        </is>
      </c>
      <c r="E77" s="11" t="inlineStr">
        <is>
          <t>The Post (Ohio University)</t>
        </is>
      </c>
      <c r="F77" s="10" t="inlineStr">
        <is>
          <t>news</t>
        </is>
      </c>
      <c r="G77" s="10" t="inlineStr">
        <is>
          <t>OH</t>
        </is>
      </c>
      <c r="H77" s="10" t="inlineStr">
        <is>
          <t>HB 469</t>
        </is>
      </c>
      <c r="I77" s="12" t="inlineStr">
        <is>
          <t>https://www.thepostathens.com/article/2025/11/ohio-house-bill-469-prohibit-ai-personhood</t>
        </is>
      </c>
    </row>
    <row r="78">
      <c r="A78" s="7" t="inlineStr">
        <is>
          <t>williams2024</t>
        </is>
      </c>
      <c r="B78" s="8" t="inlineStr">
        <is>
          <t>Williams, C.</t>
        </is>
      </c>
      <c r="C78" s="7" t="inlineStr">
        <is>
          <t>2024</t>
        </is>
      </c>
      <c r="D78" s="8" t="inlineStr">
        <is>
          <t>What is a person? Here's why Utah is considering a new bill to define it</t>
        </is>
      </c>
      <c r="E78" s="8" t="inlineStr">
        <is>
          <t>KSL News</t>
        </is>
      </c>
      <c r="F78" s="7" t="inlineStr">
        <is>
          <t>news</t>
        </is>
      </c>
      <c r="G78" s="7" t="inlineStr">
        <is>
          <t>UT</t>
        </is>
      </c>
      <c r="H78" s="7" t="inlineStr">
        <is>
          <t>HB 249</t>
        </is>
      </c>
      <c r="I78" s="9" t="inlineStr">
        <is>
          <t>https://www.ksl.com/article/50853851/what-is-a-person-heres-why-utah-is-considering-a-new-bill-to-define-it</t>
        </is>
      </c>
    </row>
    <row r="79">
      <c r="A79" s="10" t="inlineStr">
        <is>
          <t>wiseye2026</t>
        </is>
      </c>
      <c r="B79" s="11" t="inlineStr">
        <is>
          <t>WisconsinEye</t>
        </is>
      </c>
      <c r="C79" s="10" t="inlineStr">
        <is>
          <t>2026</t>
        </is>
      </c>
      <c r="D79" s="11" t="inlineStr">
        <is>
          <t>Assembly Committee on Science, Technology, and AI</t>
        </is>
      </c>
      <c r="E79" s="11" t="inlineStr">
        <is>
          <t>WisconsinEye</t>
        </is>
      </c>
      <c r="F79" s="10" t="inlineStr">
        <is>
          <t>testimony</t>
        </is>
      </c>
      <c r="G79" s="10" t="inlineStr">
        <is>
          <t>WI</t>
        </is>
      </c>
      <c r="H79" s="10" t="inlineStr">
        <is>
          <t>AB 959 / SB 932</t>
        </is>
      </c>
      <c r="I79" s="12" t="inlineStr">
        <is>
          <t>https://wiseye.org/2026/02/04/assembly-committee-on-science-technology-and-ai-7/</t>
        </is>
      </c>
    </row>
    <row r="80">
      <c r="A80" s="7" t="inlineStr">
        <is>
          <t>wef2020</t>
        </is>
      </c>
      <c r="B80" s="8" t="inlineStr">
        <is>
          <t>World Economic Forum</t>
        </is>
      </c>
      <c r="C80" s="7" t="inlineStr">
        <is>
          <t>2020</t>
        </is>
      </c>
      <c r="D80" s="8" t="inlineStr">
        <is>
          <t>What if nature became a legal person?</t>
        </is>
      </c>
      <c r="E80" s="8" t="inlineStr">
        <is>
          <t>World Economic Forum</t>
        </is>
      </c>
      <c r="F80" s="7" t="inlineStr">
        <is>
          <t>advocacy</t>
        </is>
      </c>
      <c r="G80" s="7" t="inlineStr"/>
      <c r="H80" s="7" t="inlineStr"/>
      <c r="I80" s="9" t="inlineStr">
        <is>
          <t>https://www.weforum.org/stories/2020/05/nature-legal-personhood/</t>
        </is>
      </c>
    </row>
    <row r="81">
      <c r="A81" s="10" t="inlineStr">
        <is>
          <t>yurok2019</t>
        </is>
      </c>
      <c r="B81" s="11" t="inlineStr">
        <is>
          <t>Yurok Tribe</t>
        </is>
      </c>
      <c r="C81" s="10" t="inlineStr">
        <is>
          <t>2019</t>
        </is>
      </c>
      <c r="D81" s="11" t="inlineStr">
        <is>
          <t>Resolution Establishing the Rights of the Klamath River (Resolution No. 19-40)</t>
        </is>
      </c>
      <c r="E81" s="11" t="inlineStr">
        <is>
          <t>Yurok Tribe</t>
        </is>
      </c>
      <c r="F81" s="10" t="inlineStr">
        <is>
          <t>legal_doc</t>
        </is>
      </c>
      <c r="G81" s="10" t="inlineStr"/>
      <c r="H81" s="10" t="inlineStr"/>
      <c r="I81" s="12" t="inlineStr">
        <is>
          <t>https://ecojurisprudence.org/initiatives/resolution-establishing-rights-of-the-klamath-river/</t>
        </is>
      </c>
    </row>
  </sheetData>
  <autoFilter ref="A1:I8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7" r:id="rId32"/>
    <hyperlink xmlns:r="http://schemas.openxmlformats.org/officeDocument/2006/relationships" ref="I38" r:id="rId33"/>
    <hyperlink xmlns:r="http://schemas.openxmlformats.org/officeDocument/2006/relationships" ref="I39" r:id="rId34"/>
    <hyperlink xmlns:r="http://schemas.openxmlformats.org/officeDocument/2006/relationships" ref="I40" r:id="rId35"/>
    <hyperlink xmlns:r="http://schemas.openxmlformats.org/officeDocument/2006/relationships" ref="I41" r:id="rId36"/>
    <hyperlink xmlns:r="http://schemas.openxmlformats.org/officeDocument/2006/relationships" ref="I42" r:id="rId37"/>
    <hyperlink xmlns:r="http://schemas.openxmlformats.org/officeDocument/2006/relationships" ref="I43" r:id="rId38"/>
    <hyperlink xmlns:r="http://schemas.openxmlformats.org/officeDocument/2006/relationships" ref="I44" r:id="rId39"/>
    <hyperlink xmlns:r="http://schemas.openxmlformats.org/officeDocument/2006/relationships" ref="I45" r:id="rId40"/>
    <hyperlink xmlns:r="http://schemas.openxmlformats.org/officeDocument/2006/relationships" ref="I46" r:id="rId41"/>
    <hyperlink xmlns:r="http://schemas.openxmlformats.org/officeDocument/2006/relationships" ref="I47" r:id="rId42"/>
    <hyperlink xmlns:r="http://schemas.openxmlformats.org/officeDocument/2006/relationships" ref="I48" r:id="rId43"/>
    <hyperlink xmlns:r="http://schemas.openxmlformats.org/officeDocument/2006/relationships" ref="I49" r:id="rId44"/>
    <hyperlink xmlns:r="http://schemas.openxmlformats.org/officeDocument/2006/relationships" ref="I50" r:id="rId45"/>
    <hyperlink xmlns:r="http://schemas.openxmlformats.org/officeDocument/2006/relationships" ref="I51" r:id="rId46"/>
    <hyperlink xmlns:r="http://schemas.openxmlformats.org/officeDocument/2006/relationships" ref="I52" r:id="rId47"/>
    <hyperlink xmlns:r="http://schemas.openxmlformats.org/officeDocument/2006/relationships" ref="I53" r:id="rId48"/>
    <hyperlink xmlns:r="http://schemas.openxmlformats.org/officeDocument/2006/relationships" ref="I54" r:id="rId49"/>
    <hyperlink xmlns:r="http://schemas.openxmlformats.org/officeDocument/2006/relationships" ref="I55" r:id="rId50"/>
    <hyperlink xmlns:r="http://schemas.openxmlformats.org/officeDocument/2006/relationships" ref="I56" r:id="rId51"/>
    <hyperlink xmlns:r="http://schemas.openxmlformats.org/officeDocument/2006/relationships" ref="I57" r:id="rId52"/>
    <hyperlink xmlns:r="http://schemas.openxmlformats.org/officeDocument/2006/relationships" ref="I58" r:id="rId53"/>
    <hyperlink xmlns:r="http://schemas.openxmlformats.org/officeDocument/2006/relationships" ref="I59" r:id="rId54"/>
    <hyperlink xmlns:r="http://schemas.openxmlformats.org/officeDocument/2006/relationships" ref="I60" r:id="rId55"/>
    <hyperlink xmlns:r="http://schemas.openxmlformats.org/officeDocument/2006/relationships" ref="I61" r:id="rId56"/>
    <hyperlink xmlns:r="http://schemas.openxmlformats.org/officeDocument/2006/relationships" ref="I62" r:id="rId57"/>
    <hyperlink xmlns:r="http://schemas.openxmlformats.org/officeDocument/2006/relationships" ref="I63" r:id="rId58"/>
    <hyperlink xmlns:r="http://schemas.openxmlformats.org/officeDocument/2006/relationships" ref="I64" r:id="rId59"/>
    <hyperlink xmlns:r="http://schemas.openxmlformats.org/officeDocument/2006/relationships" ref="I65" r:id="rId60"/>
    <hyperlink xmlns:r="http://schemas.openxmlformats.org/officeDocument/2006/relationships" ref="I66" r:id="rId61"/>
    <hyperlink xmlns:r="http://schemas.openxmlformats.org/officeDocument/2006/relationships" ref="I67" r:id="rId62"/>
    <hyperlink xmlns:r="http://schemas.openxmlformats.org/officeDocument/2006/relationships" ref="I68" r:id="rId63"/>
    <hyperlink xmlns:r="http://schemas.openxmlformats.org/officeDocument/2006/relationships" ref="I69" r:id="rId64"/>
    <hyperlink xmlns:r="http://schemas.openxmlformats.org/officeDocument/2006/relationships" ref="I70" r:id="rId65"/>
    <hyperlink xmlns:r="http://schemas.openxmlformats.org/officeDocument/2006/relationships" ref="I71" r:id="rId66"/>
    <hyperlink xmlns:r="http://schemas.openxmlformats.org/officeDocument/2006/relationships" ref="I72" r:id="rId67"/>
    <hyperlink xmlns:r="http://schemas.openxmlformats.org/officeDocument/2006/relationships" ref="I73" r:id="rId68"/>
    <hyperlink xmlns:r="http://schemas.openxmlformats.org/officeDocument/2006/relationships" ref="I74" r:id="rId69"/>
    <hyperlink xmlns:r="http://schemas.openxmlformats.org/officeDocument/2006/relationships" ref="I75" r:id="rId70"/>
    <hyperlink xmlns:r="http://schemas.openxmlformats.org/officeDocument/2006/relationships" ref="I76" r:id="rId71"/>
    <hyperlink xmlns:r="http://schemas.openxmlformats.org/officeDocument/2006/relationships" ref="I77" r:id="rId72"/>
    <hyperlink xmlns:r="http://schemas.openxmlformats.org/officeDocument/2006/relationships" ref="I78" r:id="rId73"/>
    <hyperlink xmlns:r="http://schemas.openxmlformats.org/officeDocument/2006/relationships" ref="I79" r:id="rId74"/>
    <hyperlink xmlns:r="http://schemas.openxmlformats.org/officeDocument/2006/relationships" ref="I80" r:id="rId75"/>
    <hyperlink xmlns:r="http://schemas.openxmlformats.org/officeDocument/2006/relationships" ref="I81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2" customWidth="1" min="3" max="3"/>
    <col width="8" customWidth="1" min="4" max="4"/>
    <col width="54" customWidth="1" min="5" max="5"/>
  </cols>
  <sheetData>
    <row r="1" ht="32" customHeight="1">
      <c r="A1" s="6" t="inlineStr">
        <is>
          <t>case</t>
        </is>
      </c>
      <c r="B1" s="6" t="inlineStr">
        <is>
          <t>citation</t>
        </is>
      </c>
      <c r="C1" s="6" t="inlineStr">
        <is>
          <t>court</t>
        </is>
      </c>
      <c r="D1" s="6" t="inlineStr">
        <is>
          <t>year</t>
        </is>
      </c>
      <c r="E1" s="6" t="inlineStr">
        <is>
          <t>relevance_in_paper</t>
        </is>
      </c>
    </row>
    <row r="2">
      <c r="A2" s="8" t="inlineStr">
        <is>
          <t>Ban v. Utah</t>
        </is>
      </c>
      <c r="B2" s="7" t="inlineStr">
        <is>
          <t>No. 250900869</t>
        </is>
      </c>
      <c r="C2" s="7" t="inlineStr">
        <is>
          <t>Utah Dist. Ct.</t>
        </is>
      </c>
      <c r="D2" s="7" t="inlineStr">
        <is>
          <t>2025</t>
        </is>
      </c>
      <c r="E2" s="8" t="inlineStr">
        <is>
          <t>NhRP challenge to HB 249; dismissed 8 May 2025</t>
        </is>
      </c>
    </row>
    <row r="3">
      <c r="A3" s="11" t="inlineStr">
        <is>
          <t>Bank Markazi v. Peterson</t>
        </is>
      </c>
      <c r="B3" s="10" t="inlineStr">
        <is>
          <t>578 U.S. 212</t>
        </is>
      </c>
      <c r="C3" s="10" t="inlineStr">
        <is>
          <t>U.S. Supreme Court</t>
        </is>
      </c>
      <c r="D3" s="10" t="inlineStr">
        <is>
          <t>2016</t>
        </is>
      </c>
      <c r="E3" s="11" t="inlineStr">
        <is>
          <t>Congress may amend law affecting pending litigation</t>
        </is>
      </c>
    </row>
    <row r="4">
      <c r="A4" s="8" t="inlineStr">
        <is>
          <t>Citizens United v. FEC</t>
        </is>
      </c>
      <c r="B4" s="7" t="inlineStr">
        <is>
          <t>558 U.S. 310</t>
        </is>
      </c>
      <c r="C4" s="7" t="inlineStr">
        <is>
          <t>U.S. Supreme Court</t>
        </is>
      </c>
      <c r="D4" s="7" t="inlineStr">
        <is>
          <t>2010</t>
        </is>
      </c>
      <c r="E4" s="8" t="inlineStr">
        <is>
          <t>First Amendment protection for corporate political spending</t>
        </is>
      </c>
    </row>
    <row r="5">
      <c r="A5" s="11" t="inlineStr">
        <is>
          <t>Cleveland Board of Education v. LaFleur</t>
        </is>
      </c>
      <c r="B5" s="10" t="inlineStr">
        <is>
          <t>414 U.S. 632</t>
        </is>
      </c>
      <c r="C5" s="10" t="inlineStr">
        <is>
          <t>U.S. Supreme Court</t>
        </is>
      </c>
      <c r="D5" s="10" t="inlineStr">
        <is>
          <t>1974</t>
        </is>
      </c>
      <c r="E5" s="11" t="inlineStr">
        <is>
          <t>Irrebuttable presumptions and due process</t>
        </is>
      </c>
    </row>
    <row r="6">
      <c r="A6" s="8" t="inlineStr">
        <is>
          <t>Coates v. Cincinnati</t>
        </is>
      </c>
      <c r="B6" s="7" t="inlineStr">
        <is>
          <t>402 U.S. 611</t>
        </is>
      </c>
      <c r="C6" s="7" t="inlineStr">
        <is>
          <t>U.S. Supreme Court</t>
        </is>
      </c>
      <c r="D6" s="7" t="inlineStr">
        <is>
          <t>1971</t>
        </is>
      </c>
      <c r="E6" s="8" t="inlineStr">
        <is>
          <t>Vagueness: criminalising 'annoying' behaviour</t>
        </is>
      </c>
    </row>
    <row r="7">
      <c r="A7" s="11" t="inlineStr">
        <is>
          <t>Connally v. General Construction Co.</t>
        </is>
      </c>
      <c r="B7" s="10" t="inlineStr">
        <is>
          <t>269 U.S. 385</t>
        </is>
      </c>
      <c r="C7" s="10" t="inlineStr">
        <is>
          <t>U.S. Supreme Court</t>
        </is>
      </c>
      <c r="D7" s="10" t="inlineStr">
        <is>
          <t>1926</t>
        </is>
      </c>
      <c r="E7" s="11" t="inlineStr">
        <is>
          <t>Vagueness: 'current rate of per diem wages'</t>
        </is>
      </c>
    </row>
    <row r="8">
      <c r="A8" s="8" t="inlineStr">
        <is>
          <t>Daubert v. Merrell Dow Pharmaceuticals</t>
        </is>
      </c>
      <c r="B8" s="7" t="inlineStr">
        <is>
          <t>509 U.S. 579</t>
        </is>
      </c>
      <c r="C8" s="7" t="inlineStr">
        <is>
          <t>U.S. Supreme Court</t>
        </is>
      </c>
      <c r="D8" s="7" t="inlineStr">
        <is>
          <t>1993</t>
        </is>
      </c>
      <c r="E8" s="8" t="inlineStr">
        <is>
          <t>Admissibility standard for scientific evidence</t>
        </is>
      </c>
    </row>
    <row r="9">
      <c r="A9" s="11" t="inlineStr">
        <is>
          <t>Epperson v. Arkansas</t>
        </is>
      </c>
      <c r="B9" s="10" t="inlineStr">
        <is>
          <t>393 U.S. 97</t>
        </is>
      </c>
      <c r="C9" s="10" t="inlineStr">
        <is>
          <t>U.S. Supreme Court</t>
        </is>
      </c>
      <c r="D9" s="10" t="inlineStr">
        <is>
          <t>1968</t>
        </is>
      </c>
      <c r="E9" s="11" t="inlineStr">
        <is>
          <t>Establishment Clause; teaching of evolution</t>
        </is>
      </c>
    </row>
    <row r="10">
      <c r="A10" s="8" t="inlineStr">
        <is>
          <t>FCC v. Beach Communications</t>
        </is>
      </c>
      <c r="B10" s="7" t="inlineStr">
        <is>
          <t>508 U.S. 307</t>
        </is>
      </c>
      <c r="C10" s="7" t="inlineStr">
        <is>
          <t>U.S. Supreme Court</t>
        </is>
      </c>
      <c r="D10" s="7" t="inlineStr">
        <is>
          <t>1993</t>
        </is>
      </c>
      <c r="E10" s="8" t="inlineStr">
        <is>
          <t>Rational basis test</t>
        </is>
      </c>
    </row>
    <row r="11">
      <c r="A11" s="11" t="inlineStr">
        <is>
          <t>Kennedy v. Bremerton School District</t>
        </is>
      </c>
      <c r="B11" s="10" t="inlineStr">
        <is>
          <t>597 U.S. 507</t>
        </is>
      </c>
      <c r="C11" s="10" t="inlineStr">
        <is>
          <t>U.S. Supreme Court</t>
        </is>
      </c>
      <c r="D11" s="10" t="inlineStr">
        <is>
          <t>2022</t>
        </is>
      </c>
      <c r="E11" s="11" t="inlineStr">
        <is>
          <t>Free Exercise; personal religious observance</t>
        </is>
      </c>
    </row>
    <row r="12">
      <c r="A12" s="8" t="inlineStr">
        <is>
          <t>Kitzmiller v. Dover Area School District</t>
        </is>
      </c>
      <c r="B12" s="7" t="inlineStr">
        <is>
          <t>400 F. Supp. 2d 707</t>
        </is>
      </c>
      <c r="C12" s="7" t="inlineStr">
        <is>
          <t>M.D. Pa.</t>
        </is>
      </c>
      <c r="D12" s="7" t="inlineStr">
        <is>
          <t>2005</t>
        </is>
      </c>
      <c r="E12" s="8" t="inlineStr">
        <is>
          <t>Establishment Clause; intelligent design</t>
        </is>
      </c>
    </row>
    <row r="13">
      <c r="A13" s="11" t="inlineStr">
        <is>
          <t>Marbury v. Madison</t>
        </is>
      </c>
      <c r="B13" s="10" t="inlineStr">
        <is>
          <t>5 U.S. (1 Cranch) 137</t>
        </is>
      </c>
      <c r="C13" s="10" t="inlineStr">
        <is>
          <t>U.S. Supreme Court</t>
        </is>
      </c>
      <c r="D13" s="10" t="inlineStr">
        <is>
          <t>1803</t>
        </is>
      </c>
      <c r="E13" s="11" t="inlineStr">
        <is>
          <t>Judicial review; right to claim protection of the laws</t>
        </is>
      </c>
    </row>
    <row r="14">
      <c r="A14" s="8" t="inlineStr">
        <is>
          <t>Papachristou v. City of Jacksonville</t>
        </is>
      </c>
      <c r="B14" s="7" t="inlineStr">
        <is>
          <t>405 U.S. 156</t>
        </is>
      </c>
      <c r="C14" s="7" t="inlineStr">
        <is>
          <t>U.S. Supreme Court</t>
        </is>
      </c>
      <c r="D14" s="7" t="inlineStr">
        <is>
          <t>1972</t>
        </is>
      </c>
      <c r="E14" s="8" t="inlineStr">
        <is>
          <t>Void for vagueness; vagrancy laws</t>
        </is>
      </c>
    </row>
    <row r="15">
      <c r="A15" s="11" t="inlineStr">
        <is>
          <t>United States v. Carolene Products Co.</t>
        </is>
      </c>
      <c r="B15" s="10" t="inlineStr">
        <is>
          <t>304 U.S. 144</t>
        </is>
      </c>
      <c r="C15" s="10" t="inlineStr">
        <is>
          <t>U.S. Supreme Court</t>
        </is>
      </c>
      <c r="D15" s="10" t="inlineStr">
        <is>
          <t>1938</t>
        </is>
      </c>
      <c r="E15" s="11" t="inlineStr">
        <is>
          <t>Presumption of facts supporting legislative judgment</t>
        </is>
      </c>
    </row>
    <row r="16">
      <c r="A16" s="8" t="inlineStr">
        <is>
          <t>United States v. Klein</t>
        </is>
      </c>
      <c r="B16" s="7" t="inlineStr">
        <is>
          <t>80 U.S. (13 Wall.) 128</t>
        </is>
      </c>
      <c r="C16" s="7" t="inlineStr">
        <is>
          <t>U.S. Supreme Court</t>
        </is>
      </c>
      <c r="D16" s="7" t="inlineStr">
        <is>
          <t>1871</t>
        </is>
      </c>
      <c r="E16" s="8" t="inlineStr">
        <is>
          <t>Congress may not prescribe a rule of decision</t>
        </is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60" customWidth="1" min="3" max="3"/>
  </cols>
  <sheetData>
    <row r="1">
      <c r="A1" s="1" t="inlineStr">
        <is>
          <t>Summary</t>
        </is>
      </c>
    </row>
    <row r="3">
      <c r="A3" s="3" t="inlineStr">
        <is>
          <t>Literature working set (total rows)</t>
        </is>
      </c>
      <c r="B3" s="13">
        <f>COUNTA(Literature!A2:A111)</f>
        <v/>
      </c>
      <c r="C3" s="14" t="inlineStr">
        <is>
          <t>Union of paper scholarly refs and corpus personhood cluster</t>
        </is>
      </c>
    </row>
    <row r="4">
      <c r="A4" s="5" t="inlineStr">
        <is>
          <t xml:space="preserve">  Cited by the paper</t>
        </is>
      </c>
      <c r="B4" s="13">
        <f>COUNTIF(Literature!B2:B111,"Yes")</f>
        <v/>
      </c>
      <c r="C4" s="14" t="inlineStr">
        <is>
          <t>in_paper = Yes</t>
        </is>
      </c>
    </row>
    <row r="5">
      <c r="A5" s="5" t="inlineStr">
        <is>
          <t xml:space="preserve">  Already held in DM corpus</t>
        </is>
      </c>
      <c r="B5" s="13">
        <f>COUNTIF(Literature!C2:C111,"Yes")</f>
        <v/>
      </c>
      <c r="C5" s="14" t="inlineStr">
        <is>
          <t>in_corpus = Yes</t>
        </is>
      </c>
    </row>
    <row r="6">
      <c r="A6" s="5" t="inlineStr">
        <is>
          <t xml:space="preserve">  Needs verification</t>
        </is>
      </c>
      <c r="B6" s="13">
        <f>COUNTIF(Literature!C2:C111,"Verify")</f>
        <v/>
      </c>
      <c r="C6" s="14" t="inlineStr">
        <is>
          <t>Possible retitled duplicate</t>
        </is>
      </c>
    </row>
    <row r="7">
      <c r="A7" s="5" t="inlineStr">
        <is>
          <t xml:space="preserve">  Paper refs already in corpus</t>
        </is>
      </c>
      <c r="B7" s="13">
        <f>COUNTIFS(Literature!B2:B111,"Yes",Literature!C2:C111,"Yes")</f>
        <v/>
      </c>
      <c r="C7" s="14" t="inlineStr">
        <is>
          <t>The dedupe saving</t>
        </is>
      </c>
    </row>
    <row r="8">
      <c r="A8" s="5" t="inlineStr">
        <is>
          <t xml:space="preserve">  Paper refs NOT in corpus (to collect)</t>
        </is>
      </c>
      <c r="B8" s="13">
        <f>COUNTIFS(Literature!B2:B111,"Yes",Literature!C2:C111,"No")</f>
        <v/>
      </c>
      <c r="C8" s="14" t="inlineStr">
        <is>
          <t>New acquisitions</t>
        </is>
      </c>
    </row>
    <row r="9">
      <c r="A9" s="5" t="inlineStr">
        <is>
          <t xml:space="preserve">  Corpus works the paper missed</t>
        </is>
      </c>
      <c r="B9" s="13">
        <f>COUNTIFS(Literature!B2:B111,"No",Literature!C2:C111,"Yes")</f>
        <v/>
      </c>
      <c r="C9" s="14" t="inlineStr">
        <is>
          <t>Finding A: corpus as a source</t>
        </is>
      </c>
    </row>
    <row r="10">
      <c r="A10" s="5" t="inlineStr"/>
      <c r="C10" s="14" t="inlineStr"/>
    </row>
    <row r="11">
      <c r="A11" s="3" t="inlineStr">
        <is>
          <t>Tier: core</t>
        </is>
      </c>
      <c r="B11" s="13">
        <f>COUNTIF(Literature!E2:E111,"core")</f>
        <v/>
      </c>
      <c r="C11" s="14" t="inlineStr"/>
    </row>
    <row r="12">
      <c r="A12" s="3" t="inlineStr">
        <is>
          <t>Tier: marginal</t>
        </is>
      </c>
      <c r="B12" s="13">
        <f>COUNTIF(Literature!E2:E111,"marginal")</f>
        <v/>
      </c>
      <c r="C12" s="14" t="inlineStr"/>
    </row>
    <row r="13">
      <c r="A13" s="5" t="inlineStr"/>
      <c r="C13" s="14" t="inlineStr"/>
    </row>
    <row r="14">
      <c r="A14" s="3" t="inlineStr">
        <is>
          <t>Action: no action - already held</t>
        </is>
      </c>
      <c r="B14" s="13">
        <f>COUNTIF(Literature!P2:P111,"No action - already held")</f>
        <v/>
      </c>
      <c r="C14" s="14" t="inlineStr"/>
    </row>
    <row r="15">
      <c r="A15" s="3" t="inlineStr">
        <is>
          <t>Action: verify against corpus record</t>
        </is>
      </c>
      <c r="B15" s="13">
        <f>COUNTIF(Literature!P2:P111,"Verify against corpus record")</f>
        <v/>
      </c>
      <c r="C15" s="14" t="inlineStr"/>
    </row>
    <row r="16">
      <c r="A16" s="3" t="inlineStr">
        <is>
          <t>Action: collect</t>
        </is>
      </c>
      <c r="B16" s="13">
        <f>COUNTIF(Literature!P2:P111,"Collect")</f>
        <v/>
      </c>
      <c r="C16" s="14" t="inlineStr"/>
    </row>
    <row r="17">
      <c r="A17" s="3" t="inlineStr">
        <is>
          <t>Action: hold (marginal)</t>
        </is>
      </c>
      <c r="B17" s="13">
        <f>COUNTIF(Literature!P2:P111,"Hold (marginal)")</f>
        <v/>
      </c>
      <c r="C17" s="14" t="inlineStr"/>
    </row>
    <row r="18">
      <c r="A18" s="3" t="inlineStr">
        <is>
          <t>Action: classify for tracker</t>
        </is>
      </c>
      <c r="B18" s="13">
        <f>COUNTIF(Literature!P2:P111,"Classify for tracker")</f>
        <v/>
      </c>
      <c r="C18" s="14" t="inlineStr"/>
    </row>
    <row r="19">
      <c r="A19" s="5" t="inlineStr"/>
      <c r="C19" s="14" t="inlineStr"/>
    </row>
    <row r="20">
      <c r="A20" s="3" t="inlineStr">
        <is>
          <t>Evidence records (total)</t>
        </is>
      </c>
      <c r="B20" s="13">
        <f>COUNTA(Evidence!A2:A81)</f>
        <v/>
      </c>
      <c r="C20" s="14" t="inlineStr">
        <is>
          <t>Source records for the Phase 2 bill registry</t>
        </is>
      </c>
    </row>
    <row r="21">
      <c r="A21" s="5" t="inlineStr">
        <is>
          <t xml:space="preserve">  Testimony</t>
        </is>
      </c>
      <c r="B21" s="13">
        <f>COUNTIF(Evidence!F2:F81,"testimony")</f>
        <v/>
      </c>
      <c r="C21" s="14" t="inlineStr"/>
    </row>
    <row r="22">
      <c r="A22" s="5" t="inlineStr">
        <is>
          <t xml:space="preserve">  News</t>
        </is>
      </c>
      <c r="B22" s="13">
        <f>COUNTIF(Evidence!F2:F81,"news")</f>
        <v/>
      </c>
      <c r="C22" s="14" t="inlineStr"/>
    </row>
    <row r="23">
      <c r="A23" s="5" t="inlineStr">
        <is>
          <t xml:space="preserve">  Advocacy</t>
        </is>
      </c>
      <c r="B23" s="13">
        <f>COUNTIF(Evidence!F2:F81,"advocacy")</f>
        <v/>
      </c>
      <c r="C23" s="14" t="inlineStr"/>
    </row>
    <row r="24">
      <c r="A24" s="5" t="inlineStr">
        <is>
          <t xml:space="preserve">  Legal documents</t>
        </is>
      </c>
      <c r="B24" s="13">
        <f>COUNTIF(Evidence!F2:F81,"legal_doc")</f>
        <v/>
      </c>
      <c r="C24" s="14" t="inlineStr"/>
    </row>
    <row r="25">
      <c r="A25" s="5" t="inlineStr">
        <is>
          <t xml:space="preserve">  Op-eds</t>
        </is>
      </c>
      <c r="B25" s="13">
        <f>COUNTIF(Evidence!F2:F81,"op_ed")</f>
        <v/>
      </c>
      <c r="C25" s="14" t="inlineStr"/>
    </row>
    <row r="26">
      <c r="A26" s="5" t="inlineStr">
        <is>
          <t xml:space="preserve">  Social posts</t>
        </is>
      </c>
      <c r="B26" s="13">
        <f>COUNTIF(Evidence!F2:F81,"social")</f>
        <v/>
      </c>
      <c r="C26" s="14" t="inlineStr"/>
    </row>
    <row r="27">
      <c r="A27" s="5" t="inlineStr">
        <is>
          <t xml:space="preserve">  Press releases</t>
        </is>
      </c>
      <c r="B27" s="13">
        <f>COUNTIF(Evidence!F2:F81,"press_release")</f>
        <v/>
      </c>
      <c r="C27" s="14" t="inlineStr"/>
    </row>
    <row r="28">
      <c r="A28" s="5" t="inlineStr">
        <is>
          <t xml:space="preserve">  Other (media, bio, reference, religious, gov)</t>
        </is>
      </c>
      <c r="B28" s="13">
        <f>COUNTA(Evidence!A2:A81)-SUM(B19:B25)</f>
        <v/>
      </c>
      <c r="C28" s="14" t="inlineStr"/>
    </row>
    <row r="29">
      <c r="A29" s="5" t="inlineStr"/>
      <c r="C29" s="14" t="inlineStr"/>
    </row>
    <row r="30">
      <c r="A30" s="3" t="inlineStr">
        <is>
          <t>Cases in Table of Cases</t>
        </is>
      </c>
      <c r="B30" s="13">
        <f>COUNTA(Cases!A2:A16)</f>
        <v/>
      </c>
      <c r="C30" s="14" t="inlineStr"/>
    </row>
    <row r="31">
      <c r="A31" s="5" t="inlineStr"/>
      <c r="C31" s="14" t="inlineStr"/>
    </row>
    <row r="32">
      <c r="A32" s="3" t="inlineStr">
        <is>
          <t>Total reference-list entries accounted for</t>
        </is>
      </c>
      <c r="B32" s="13">
        <f>COUNTIFS(Literature!B2:B111,"Yes")+COUNTA(Evidence!A2:A81)</f>
        <v/>
      </c>
      <c r="C32" s="14" t="inlineStr">
        <is>
          <t>Scholarly + evidence = the paper's reference list</t>
        </is>
      </c>
    </row>
    <row r="33">
      <c r="A33" s="3" t="inlineStr">
        <is>
          <t>Scholarly share of reference list</t>
        </is>
      </c>
      <c r="B33" s="15">
        <f>COUNTIFS(Literature!B2:B111,"Yes")/(COUNTIFS(Literature!B2:B111,"Yes")+COUNTA(Evidence!A2:A81))</f>
        <v/>
      </c>
      <c r="C33" s="14" t="inlineStr">
        <is>
          <t>Scholarly / (scholarly + evidence)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2026-08-10T15:50:12Z</dcterms:created>
  <dcterms:modified xsi:type="dcterms:W3CDTF">2026-08-10T15:50:12Z</dcterms:modified>
</cp:coreProperties>
</file>